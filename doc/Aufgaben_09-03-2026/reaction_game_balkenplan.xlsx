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611D2567-7C20-42C2-A361-788073EDDFFE}" xr6:coauthVersionLast="47" xr6:coauthVersionMax="47" xr10:uidLastSave="{00000000-0000-0000-0000-000000000000}"/>
  <bookViews>
    <workbookView xWindow="-120" yWindow="-120" windowWidth="29040" windowHeight="15720"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0" i="11" l="1"/>
  <c r="H49" i="11"/>
  <c r="H48" i="11"/>
  <c r="H47" i="11"/>
  <c r="H46" i="11"/>
  <c r="H45" i="11"/>
  <c r="H44" i="11"/>
  <c r="H40" i="11"/>
  <c r="H38" i="11"/>
  <c r="H41" i="11"/>
  <c r="H7" i="11"/>
  <c r="I5" i="11" l="1"/>
  <c r="H31" i="11" l="1"/>
  <c r="I6" i="11"/>
  <c r="H39" i="11"/>
  <c r="H37" i="11"/>
  <c r="H36" i="11"/>
  <c r="H34" i="11"/>
  <c r="H29" i="11"/>
  <c r="H30" i="11" l="1"/>
  <c r="H35" i="11" l="1"/>
  <c r="H32" i="11"/>
  <c r="J5" i="11"/>
  <c r="I4" i="11"/>
  <c r="K5" i="11" l="1"/>
  <c r="J6" i="11"/>
  <c r="H33" i="11"/>
  <c r="L5" i="11" l="1"/>
  <c r="K6"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R4" i="11" s="1"/>
  <c r="AS5" i="11" l="1"/>
  <c r="AR6"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l="1"/>
  <c r="BM5" i="11"/>
  <c r="BN5" i="11" l="1"/>
  <c r="BM4" i="11"/>
  <c r="BM6" i="11"/>
  <c r="BO5" i="11" l="1"/>
  <c r="BN6" i="11"/>
  <c r="BP5" i="11" l="1"/>
  <c r="BO6" i="11"/>
  <c r="BQ5" i="11" l="1"/>
  <c r="BP6" i="11"/>
  <c r="BR5" i="11" l="1"/>
  <c r="BQ6" i="11"/>
  <c r="BR6" i="11" l="1"/>
  <c r="BS5" i="11"/>
  <c r="BS6" i="11" l="1"/>
  <c r="BT5" i="11"/>
  <c r="BT6" i="11" l="1"/>
  <c r="BU5" i="11"/>
  <c r="BT4" i="11"/>
  <c r="BV5" i="11" l="1"/>
  <c r="BU6" i="11"/>
  <c r="BW5" i="11" l="1"/>
  <c r="BV6" i="11"/>
  <c r="BX5" i="11" l="1"/>
  <c r="BW6" i="11"/>
  <c r="BY5" i="11" l="1"/>
  <c r="BX6" i="11"/>
  <c r="BY6" i="11" l="1"/>
  <c r="BZ5" i="11"/>
  <c r="BZ6" i="11" l="1"/>
  <c r="CA5" i="11"/>
  <c r="CB5" i="11" l="1"/>
  <c r="CA4" i="11"/>
  <c r="CA6" i="11"/>
  <c r="CC5" i="11" l="1"/>
  <c r="CB6" i="11"/>
  <c r="CD5" i="11" l="1"/>
  <c r="CC6" i="11"/>
  <c r="CE5" i="11" l="1"/>
  <c r="CD6" i="11"/>
  <c r="CF5" i="11" l="1"/>
  <c r="CE6" i="11"/>
  <c r="CF6" i="11" l="1"/>
  <c r="CG5" i="11"/>
  <c r="CG6" i="11" l="1"/>
  <c r="CH5" i="11"/>
  <c r="CI5" i="11" l="1"/>
  <c r="CH6" i="11"/>
  <c r="CH4" i="11"/>
  <c r="CJ5" i="11" l="1"/>
  <c r="CI6" i="11"/>
  <c r="CK5" i="11" l="1"/>
  <c r="CJ6" i="11"/>
  <c r="CK6" i="11" l="1"/>
  <c r="CL5" i="11"/>
  <c r="CL6" i="11" l="1"/>
  <c r="CM5" i="11"/>
  <c r="CN5" i="11" l="1"/>
  <c r="CM6" i="11"/>
  <c r="CN6" i="11" l="1"/>
  <c r="CO5" i="11"/>
  <c r="CP5" i="11" l="1"/>
  <c r="CO4" i="11"/>
  <c r="CO6" i="11"/>
  <c r="CQ5" i="11" l="1"/>
  <c r="CP6" i="11"/>
  <c r="CR5" i="11" l="1"/>
  <c r="CQ6" i="11"/>
  <c r="CS5" i="11" l="1"/>
  <c r="CR6" i="11"/>
  <c r="CT5" i="11" l="1"/>
  <c r="CS6" i="11"/>
  <c r="CT6" i="11" l="1"/>
  <c r="CU5" i="11"/>
  <c r="CU6" i="11" l="1"/>
  <c r="CV5" i="11"/>
  <c r="CW5" i="11" l="1"/>
  <c r="CV6" i="11"/>
  <c r="CV4" i="11"/>
  <c r="CX5" i="11" l="1"/>
  <c r="CW6" i="11"/>
  <c r="CY5" i="11" l="1"/>
  <c r="CX6" i="11"/>
  <c r="CZ5" i="11" l="1"/>
  <c r="CY6" i="11"/>
  <c r="DA5" i="11" l="1"/>
  <c r="CZ6" i="11"/>
  <c r="DA6" i="11" l="1"/>
  <c r="DB5" i="11"/>
  <c r="DB6" i="11" l="1"/>
  <c r="DC5" i="11"/>
  <c r="DD5" i="11" l="1"/>
  <c r="DC6" i="11"/>
  <c r="DC4" i="11"/>
  <c r="DE5" i="11" l="1"/>
  <c r="DD6" i="11"/>
  <c r="DF5" i="11" l="1"/>
  <c r="DE6" i="11"/>
  <c r="DF6" i="11" l="1"/>
  <c r="DG5" i="11"/>
  <c r="DG6" i="11" l="1"/>
  <c r="DH5" i="11"/>
  <c r="DI5" i="11" l="1"/>
  <c r="DH6" i="11"/>
  <c r="DI6" i="11" l="1"/>
  <c r="DJ5" i="11"/>
  <c r="DJ6" i="11" l="1"/>
  <c r="DK5" i="11"/>
  <c r="DJ4" i="11"/>
  <c r="DL5" i="11" l="1"/>
  <c r="DK6" i="11"/>
  <c r="DM5" i="11" l="1"/>
  <c r="DL6" i="11"/>
  <c r="DN5" i="11" l="1"/>
  <c r="DM6" i="11"/>
  <c r="DO5" i="11" l="1"/>
  <c r="DN6" i="11"/>
  <c r="DO6" i="11" l="1"/>
  <c r="DP5" i="11"/>
  <c r="DP6" i="11" l="1"/>
  <c r="DQ5" i="11"/>
  <c r="DR5" i="11" l="1"/>
  <c r="DQ4" i="11"/>
  <c r="DQ6" i="11"/>
  <c r="DS5" i="11" l="1"/>
  <c r="DR6" i="11"/>
  <c r="DT5" i="11" l="1"/>
  <c r="DS6" i="11"/>
  <c r="DU5" i="11" l="1"/>
  <c r="DT6" i="11"/>
  <c r="DV5" i="11" l="1"/>
  <c r="DU6" i="11"/>
  <c r="DV6" i="11" l="1"/>
  <c r="DW5" i="11"/>
  <c r="DW6" i="11" l="1"/>
  <c r="DX5" i="11"/>
  <c r="DY5" i="11" l="1"/>
  <c r="DX6" i="11"/>
  <c r="DX4" i="11"/>
  <c r="DZ5" i="11" l="1"/>
  <c r="DY6" i="11"/>
  <c r="DZ6" i="11" l="1"/>
  <c r="EA5" i="11"/>
  <c r="EB5" i="11" l="1"/>
  <c r="EA6" i="11"/>
  <c r="EC5" i="11" l="1"/>
  <c r="EB6" i="11"/>
  <c r="ED5" i="11" l="1"/>
  <c r="EC6" i="11"/>
  <c r="ED6" i="11" l="1"/>
</calcChain>
</file>

<file path=xl/sharedStrings.xml><?xml version="1.0" encoding="utf-8"?>
<sst xmlns="http://schemas.openxmlformats.org/spreadsheetml/2006/main" count="131" uniqueCount="125">
  <si>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</si>
  <si>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</si>
  <si>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</si>
  <si>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</si>
  <si>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</si>
  <si>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</si>
  <si>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</si>
  <si>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</si>
  <si>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</si>
  <si>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</si>
  <si>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</si>
  <si>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</si>
  <si>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Projektanfang:</t>
  </si>
  <si>
    <t>Anzeigewoche:</t>
  </si>
  <si>
    <t>FORTSCHRITT</t>
  </si>
  <si>
    <t>START</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</si>
  <si>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</si>
  <si>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</si>
  <si>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</si>
  <si>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</si>
  <si>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</si>
  <si>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</si>
  <si>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</si>
  <si>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</si>
  <si>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</si>
  <si>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</si>
  <si>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</si>
  <si>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</si>
  <si>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</si>
  <si>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</si>
  <si>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</si>
  <si>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</si>
  <si>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</si>
  <si>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Projektmanagement</t>
  </si>
  <si>
    <t>Projektkoordination</t>
  </si>
  <si>
    <t>PSP-Code</t>
  </si>
  <si>
    <t>Bezeichnung</t>
  </si>
  <si>
    <t>2.2</t>
  </si>
  <si>
    <t>2.1.1</t>
  </si>
  <si>
    <t>2.1.2</t>
  </si>
  <si>
    <t>2.1.3</t>
  </si>
  <si>
    <t>2.2.1</t>
  </si>
  <si>
    <t>2.2.2</t>
  </si>
  <si>
    <t>2.2.3</t>
  </si>
  <si>
    <t>2.3</t>
  </si>
  <si>
    <t>2.3.1</t>
  </si>
  <si>
    <t>2.3.2</t>
  </si>
  <si>
    <t>2.3.3</t>
  </si>
  <si>
    <t>2.3.4</t>
  </si>
  <si>
    <t>5</t>
  </si>
  <si>
    <t>5.1</t>
  </si>
  <si>
    <t>5.2</t>
  </si>
  <si>
    <t>5.3</t>
  </si>
  <si>
    <t>4</t>
  </si>
  <si>
    <t>4.1</t>
  </si>
  <si>
    <t>4.2</t>
  </si>
  <si>
    <t>3.1</t>
  </si>
  <si>
    <t>3.2</t>
  </si>
  <si>
    <t>Sumejjeh Omeragic</t>
  </si>
  <si>
    <t>Knowverse</t>
  </si>
  <si>
    <t>Andreas Schernthaner</t>
  </si>
  <si>
    <t>Simon Starzengruber</t>
  </si>
  <si>
    <t xml:space="preserve">1.1 </t>
  </si>
  <si>
    <t xml:space="preserve">1.2 </t>
  </si>
  <si>
    <t xml:space="preserve">1.3 </t>
  </si>
  <si>
    <t xml:space="preserve">1.4 </t>
  </si>
  <si>
    <t>Projektstart-Prozess</t>
  </si>
  <si>
    <t>Projekt-Controlling</t>
  </si>
  <si>
    <t>Projektabschluss-Prozess</t>
  </si>
  <si>
    <t>Planung und Design</t>
  </si>
  <si>
    <t>1</t>
  </si>
  <si>
    <t>2</t>
  </si>
  <si>
    <t>Anforderungen festlegen</t>
  </si>
  <si>
    <t>Spielmodi (1-Spieler / 2-Spieler)</t>
  </si>
  <si>
    <t>Level-System</t>
  </si>
  <si>
    <t>Zeitmessung</t>
  </si>
  <si>
    <t>Ergebnisdarstellung</t>
  </si>
  <si>
    <t>Technisches Konzept</t>
  </si>
  <si>
    <t>Hardware planen (Arduino,  2 Taster, OLED)</t>
  </si>
  <si>
    <t>Softwarestruktur (Setup, Loop, Funktionen)</t>
  </si>
  <si>
    <t>Zeitmessung mit millis()</t>
  </si>
  <si>
    <t>Anzeige- und UI-Konzept (OLED- Design)</t>
  </si>
  <si>
    <t>Startbildschirm → "Willkommen"</t>
  </si>
  <si>
    <t>Aufforderung → „Bitte 
starten“</t>
  </si>
  <si>
    <t>Laufender Spielzustand 
(Spieler A / B Punkte)</t>
  </si>
  <si>
    <t>Endbildschirm mit Tabelle 
(Reaktionszeiten A und B)</t>
  </si>
  <si>
    <t>Reaktionssignal (rotes Feld 
/ Symbol)
(Spieler A / B Punkte)</t>
  </si>
  <si>
    <t>Beschaffung</t>
  </si>
  <si>
    <t>Arduino besorgen</t>
  </si>
  <si>
    <t>Taster besorgen</t>
  </si>
  <si>
    <t>OLED-Display besorgen</t>
  </si>
  <si>
    <t>Kabel und Stromversorgung  besorgen</t>
  </si>
  <si>
    <t>Umsetzung</t>
  </si>
  <si>
    <t>5.4</t>
  </si>
  <si>
    <t>Hardware</t>
  </si>
  <si>
    <t>Hardware anschließen</t>
  </si>
  <si>
    <t>Display initialisieren</t>
  </si>
  <si>
    <t>Software</t>
  </si>
  <si>
    <t>Programm in C++ schreiben</t>
  </si>
  <si>
    <t>Button-Eingaben  programmieren</t>
  </si>
  <si>
    <t>Spielmodi implementieren (1 
oder 2 Spieler</t>
  </si>
  <si>
    <t>Level-Logik und 
Geschwindigkeitssteigerung</t>
  </si>
  <si>
    <t>Reaktionszeit messen</t>
  </si>
  <si>
    <t>Test und Abschluss</t>
  </si>
  <si>
    <t xml:space="preserve"> Funktionstest</t>
  </si>
  <si>
    <t>Anzeige-Test</t>
  </si>
  <si>
    <t>Zeitmessungs-Test</t>
  </si>
  <si>
    <t>Fehler beheben</t>
  </si>
  <si>
    <t>Dokumentation erstellen</t>
  </si>
  <si>
    <t>5.5</t>
  </si>
  <si>
    <t>4.2.6</t>
  </si>
  <si>
    <t>2.1</t>
  </si>
  <si>
    <t>2.1.4</t>
  </si>
  <si>
    <t>2.3.5</t>
  </si>
  <si>
    <t>3</t>
  </si>
  <si>
    <t>3.3</t>
  </si>
  <si>
    <t>3.4</t>
  </si>
  <si>
    <t>4.1.1</t>
  </si>
  <si>
    <t>4.1.2</t>
  </si>
  <si>
    <t>4.2.1</t>
  </si>
  <si>
    <t>4.2.2</t>
  </si>
  <si>
    <t>4.2.3</t>
  </si>
  <si>
    <t>4.2.4</t>
  </si>
  <si>
    <t>4.2.5</t>
  </si>
  <si>
    <t>Speicherung und Anzeige 
der Ergebnisse
Geschwindigkeitssteigerung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</si>
</sst>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m/yy;@"/>
    <numFmt numFmtId="171" formatCode="d/\ mmm\ yyyy"/>
    <numFmt numFmtId="172" formatCode="d"/>
    <numFmt numFmtId="173" formatCode="dd\.mm\.yy;@"/>
  </numFmts>
  <fonts count="3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2"/>
      <color theme="1"/>
      <name val="Calibri"/>
      <family val="2"/>
      <scheme val="minor"/>
    </font>
  </fonts>
  <fills count="39">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bgColor indexed="64"/>
      </patternFill>
    </fill>
    <fill>
      <patternFill patternType="solid">
        <fgColor rgb="FFC0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9"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22" fillId="0" borderId="0" applyNumberFormat="0" applyFill="0" applyBorder="0" applyAlignment="0" applyProtection="0"/>
    <xf numFmtId="0" fontId="23" fillId="5" borderId="0" applyNumberFormat="0" applyBorder="0" applyAlignment="0" applyProtection="0"/>
    <xf numFmtId="0" fontId="24" fillId="6" borderId="0" applyNumberFormat="0" applyBorder="0" applyAlignment="0" applyProtection="0"/>
    <xf numFmtId="0" fontId="25" fillId="7" borderId="0" applyNumberFormat="0" applyBorder="0" applyAlignment="0" applyProtection="0"/>
    <xf numFmtId="0" fontId="26" fillId="8" borderId="11" applyNumberFormat="0" applyAlignment="0" applyProtection="0"/>
    <xf numFmtId="0" fontId="27" fillId="9" borderId="12" applyNumberFormat="0" applyAlignment="0" applyProtection="0"/>
    <xf numFmtId="0" fontId="28" fillId="9" borderId="11" applyNumberFormat="0" applyAlignment="0" applyProtection="0"/>
    <xf numFmtId="0" fontId="29" fillId="0" borderId="13" applyNumberFormat="0" applyFill="0" applyAlignment="0" applyProtection="0"/>
    <xf numFmtId="0" fontId="30" fillId="10" borderId="14" applyNumberFormat="0" applyAlignment="0" applyProtection="0"/>
    <xf numFmtId="0" fontId="31" fillId="0" borderId="0" applyNumberFormat="0" applyFill="0" applyBorder="0" applyAlignment="0" applyProtection="0"/>
    <xf numFmtId="0" fontId="7" fillId="11"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8"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18"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8"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8"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8"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cellStyleXfs>
  <cellXfs count="6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4" borderId="1" xfId="0" applyFont="1" applyFill="1" applyBorder="1" applyAlignment="1">
      <alignment horizontal="left" vertical="center" indent="1"/>
    </xf>
    <xf numFmtId="0" fontId="6" fillId="4" borderId="1" xfId="0" applyFont="1" applyFill="1" applyBorder="1" applyAlignment="1">
      <alignment horizontal="center" vertical="center" wrapText="1"/>
    </xf>
    <xf numFmtId="0" fontId="10" fillId="3" borderId="8" xfId="0" applyFont="1" applyFill="1" applyBorder="1" applyAlignment="1">
      <alignment horizontal="center" vertical="center" shrinkToFit="1"/>
    </xf>
    <xf numFmtId="0" fontId="4" fillId="0" borderId="2" xfId="0" applyFont="1" applyBorder="1" applyAlignment="1">
      <alignment horizontal="center" vertical="center"/>
    </xf>
    <xf numFmtId="0" fontId="0" fillId="0" borderId="9" xfId="0"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72" fontId="9" fillId="2" borderId="6" xfId="0" applyNumberFormat="1" applyFont="1" applyFill="1" applyBorder="1" applyAlignment="1">
      <alignment horizontal="center" vertical="center"/>
    </xf>
    <xf numFmtId="172" fontId="9" fillId="2" borderId="0" xfId="0" applyNumberFormat="1" applyFont="1" applyFill="1" applyAlignment="1">
      <alignment horizontal="center" vertical="center"/>
    </xf>
    <xf numFmtId="172" fontId="9" fillId="2" borderId="7" xfId="0" applyNumberFormat="1" applyFont="1" applyFill="1" applyBorder="1" applyAlignment="1">
      <alignment horizontal="center" vertical="center"/>
    </xf>
    <xf numFmtId="9" fontId="4" fillId="36" borderId="2" xfId="2" applyFont="1" applyFill="1" applyBorder="1" applyAlignment="1">
      <alignment horizontal="center" vertical="center"/>
    </xf>
    <xf numFmtId="168" fontId="0" fillId="36" borderId="2" xfId="0" applyNumberFormat="1" applyFill="1" applyBorder="1" applyAlignment="1">
      <alignment horizontal="center" vertical="center"/>
    </xf>
    <xf numFmtId="168" fontId="4" fillId="36" borderId="2" xfId="0" applyNumberFormat="1" applyFont="1" applyFill="1" applyBorder="1" applyAlignment="1">
      <alignment horizontal="center" vertical="center"/>
    </xf>
    <xf numFmtId="9" fontId="4" fillId="37" borderId="2" xfId="2" applyFont="1" applyFill="1" applyBorder="1" applyAlignment="1">
      <alignment horizontal="center" vertical="center"/>
    </xf>
    <xf numFmtId="9" fontId="4" fillId="2" borderId="2" xfId="2" applyFont="1" applyFill="1" applyBorder="1" applyAlignment="1">
      <alignment horizontal="center" vertical="center"/>
    </xf>
    <xf numFmtId="49" fontId="5" fillId="36" borderId="2" xfId="0" applyNumberFormat="1" applyFont="1" applyFill="1" applyBorder="1" applyAlignment="1">
      <alignment horizontal="center" vertical="center"/>
    </xf>
    <xf numFmtId="49" fontId="7" fillId="2" borderId="2" xfId="12" applyNumberFormat="1" applyFill="1" applyAlignment="1">
      <alignment horizontal="center" vertical="center"/>
    </xf>
    <xf numFmtId="49" fontId="7" fillId="37" borderId="2" xfId="12" applyNumberFormat="1" applyFill="1" applyAlignment="1">
      <alignment horizontal="center" vertical="center"/>
    </xf>
    <xf numFmtId="9" fontId="4" fillId="0" borderId="2" xfId="2" applyFont="1" applyFill="1" applyBorder="1" applyAlignment="1">
      <alignment horizontal="center" vertical="center"/>
    </xf>
    <xf numFmtId="168" fontId="0" fillId="0" borderId="2" xfId="0" applyNumberFormat="1" applyBorder="1" applyAlignment="1">
      <alignment horizontal="center" vertical="center"/>
    </xf>
    <xf numFmtId="168" fontId="4" fillId="0" borderId="2" xfId="0" applyNumberFormat="1" applyFont="1" applyBorder="1" applyAlignment="1">
      <alignment horizontal="center" vertical="center"/>
    </xf>
    <xf numFmtId="9" fontId="4" fillId="0" borderId="2" xfId="2" applyFont="1" applyFill="1" applyBorder="1" applyAlignment="1">
      <alignment horizontal="center" vertical="center" wrapText="1"/>
    </xf>
    <xf numFmtId="49" fontId="0" fillId="0" borderId="2" xfId="0" applyNumberFormat="1" applyBorder="1" applyAlignment="1">
      <alignment horizontal="center" vertical="center"/>
    </xf>
    <xf numFmtId="49" fontId="5" fillId="2" borderId="2" xfId="0" applyNumberFormat="1" applyFont="1" applyFill="1" applyBorder="1" applyAlignment="1">
      <alignment horizontal="center" vertical="center"/>
    </xf>
    <xf numFmtId="0" fontId="0" fillId="38" borderId="9" xfId="0" applyFill="1" applyBorder="1" applyAlignment="1">
      <alignment vertical="center"/>
    </xf>
    <xf numFmtId="0" fontId="7" fillId="0" borderId="0" xfId="8">
      <alignment horizontal="right" indent="1"/>
    </xf>
    <xf numFmtId="0" fontId="7" fillId="0" borderId="7" xfId="8" applyBorder="1">
      <alignment horizontal="right" indent="1"/>
    </xf>
    <xf numFmtId="171" fontId="0" fillId="2" borderId="4" xfId="0" applyNumberFormat="1" applyFill="1" applyBorder="1" applyAlignment="1">
      <alignment horizontal="left" vertical="center" wrapText="1" indent="1"/>
    </xf>
    <xf numFmtId="171" fontId="0" fillId="2" borderId="1" xfId="0" applyNumberFormat="1" applyFill="1" applyBorder="1" applyAlignment="1">
      <alignment horizontal="left" vertical="center" wrapText="1" indent="1"/>
    </xf>
    <xf numFmtId="171" fontId="0" fillId="2" borderId="5" xfId="0" applyNumberFormat="1" applyFill="1" applyBorder="1" applyAlignment="1">
      <alignment horizontal="left" vertical="center" wrapText="1" indent="1"/>
    </xf>
    <xf numFmtId="169" fontId="7" fillId="0" borderId="3" xfId="9">
      <alignment horizontal="center" vertical="center"/>
    </xf>
    <xf numFmtId="0" fontId="34" fillId="0" borderId="0" xfId="7" applyFont="1" applyAlignment="1">
      <alignment vertical="top" wrapText="1"/>
    </xf>
    <xf numFmtId="173" fontId="7" fillId="2" borderId="2" xfId="10" applyNumberFormat="1" applyFill="1" applyAlignment="1">
      <alignment horizontal="center" vertical="center"/>
    </xf>
    <xf numFmtId="173" fontId="7" fillId="37" borderId="2" xfId="10" applyNumberFormat="1" applyFill="1" applyAlignment="1">
      <alignment horizontal="center" vertical="center"/>
    </xf>
    <xf numFmtId="0" fontId="5" fillId="36" borderId="2" xfId="0" applyFont="1" applyFill="1" applyBorder="1" applyAlignment="1">
      <alignment horizontal="center" vertical="center"/>
    </xf>
    <xf numFmtId="0" fontId="7" fillId="2" borderId="2" xfId="11" applyFill="1" applyAlignment="1">
      <alignment horizontal="center" vertical="center"/>
    </xf>
    <xf numFmtId="0" fontId="7" fillId="37" borderId="2" xfId="11" applyFill="1" applyAlignment="1">
      <alignment horizontal="center" vertical="center"/>
    </xf>
    <xf numFmtId="0" fontId="7" fillId="37" borderId="2" xfId="11" applyFill="1" applyAlignment="1">
      <alignment horizontal="center" vertical="center" wrapText="1"/>
    </xf>
    <xf numFmtId="0" fontId="7" fillId="2" borderId="2" xfId="11" applyFill="1" applyAlignment="1">
      <alignment horizontal="center" vertical="center" wrapText="1"/>
    </xf>
    <xf numFmtId="0" fontId="0" fillId="0" borderId="0" xfId="0" applyAlignment="1">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1">
    <dxf>
      <border>
        <left style="thin">
          <color rgb="FFC00000"/>
        </left>
        <right style="thin">
          <color rgb="FFC00000"/>
        </right>
        <vertical/>
        <horizontal/>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0"/>
      <tableStyleElement type="headerRow" dxfId="9"/>
      <tableStyleElement type="totalRow" dxfId="8"/>
      <tableStyleElement type="firstColumn" dxfId="7"/>
      <tableStyleElement type="lastColumn" dxfId="6"/>
      <tableStyleElement type="firstRowStripe" dxfId="5"/>
      <tableStyleElement type="secondRowStripe" dxfId="4"/>
      <tableStyleElement type="firstColumnStripe" dxfId="3"/>
      <tableStyleElement type="secondColumn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D148"/>
  <sheetViews>
    <sheetView showGridLines="0" tabSelected="1" showRuler="0" zoomScale="72" zoomScaleNormal="40" zoomScalePageLayoutView="70" workbookViewId="0">
      <pane xSplit="6" ySplit="7" topLeftCell="G26" activePane="bottomRight" state="frozen"/>
      <selection pane="topRight" activeCell="G1" sqref="G1"/>
      <selection pane="bottomLeft" activeCell="A8" sqref="A8"/>
      <selection pane="bottomRight" activeCell="AH40" sqref="AH40"/>
    </sheetView>
  </sheetViews>
  <sheetFormatPr baseColWidth="10" defaultColWidth="9.140625" defaultRowHeight="30" customHeight="1" x14ac:dyDescent="0.25"/>
  <cols>
    <col min="1" max="1" width="2.7109375" style="23" customWidth="1"/>
    <col min="2" max="2" width="19.85546875" customWidth="1"/>
    <col min="3" max="3" width="30.42578125" customWidth="1"/>
    <col min="4" max="4" width="10.7109375" customWidth="1"/>
    <col min="5" max="5" width="10.42578125" style="5" customWidth="1"/>
    <col min="6" max="6" width="6.5703125" bestFit="1" customWidth="1"/>
    <col min="7" max="7" width="2.7109375" customWidth="1"/>
    <col min="8" max="8" width="6.140625" hidden="1" customWidth="1"/>
    <col min="9" max="19" width="3.140625" bestFit="1" customWidth="1"/>
    <col min="20" max="29" width="2.5703125" customWidth="1"/>
    <col min="30" max="30" width="3.140625" bestFit="1" customWidth="1"/>
    <col min="31" max="31" width="2.5703125" customWidth="1"/>
    <col min="32" max="40" width="3.140625" bestFit="1" customWidth="1"/>
    <col min="41" max="41" width="2.5703125" customWidth="1"/>
    <col min="42" max="50" width="3.140625" bestFit="1" customWidth="1"/>
    <col min="51" max="60" width="2.5703125" customWidth="1"/>
    <col min="61" max="61" width="3.140625" bestFit="1" customWidth="1"/>
    <col min="62" max="62" width="2.5703125" customWidth="1"/>
    <col min="63" max="80" width="3.140625" bestFit="1" customWidth="1"/>
    <col min="81" max="90" width="2.5703125" customWidth="1"/>
    <col min="91" max="91" width="3.140625" bestFit="1" customWidth="1"/>
    <col min="92" max="92" width="2.5703125" customWidth="1"/>
    <col min="93" max="101" width="3.140625" bestFit="1" customWidth="1"/>
    <col min="102" max="102" width="2.5703125" customWidth="1"/>
    <col min="103" max="111" width="3.140625" bestFit="1" customWidth="1"/>
    <col min="112" max="131" width="2.5703125" customWidth="1"/>
    <col min="132" max="132" width="3.140625" bestFit="1" customWidth="1"/>
    <col min="133" max="133" width="2.5703125" customWidth="1"/>
    <col min="134" max="134" width="3.140625" bestFit="1" customWidth="1"/>
    <col min="135" max="165" width="2.5703125" customWidth="1"/>
  </cols>
  <sheetData>
    <row r="1" spans="1:134" ht="30" customHeight="1" x14ac:dyDescent="0.45">
      <c r="A1" s="24" t="s">
        <v>0</v>
      </c>
      <c r="B1" s="26" t="s">
        <v>59</v>
      </c>
      <c r="C1" s="1"/>
      <c r="D1" s="2"/>
      <c r="E1" s="4"/>
      <c r="F1" s="12"/>
      <c r="H1" s="2"/>
      <c r="I1" s="28"/>
    </row>
    <row r="2" spans="1:134" ht="30" customHeight="1" x14ac:dyDescent="0.25">
      <c r="A2" s="23" t="s">
        <v>1</v>
      </c>
      <c r="B2" s="55" t="s">
        <v>60</v>
      </c>
      <c r="C2" s="25"/>
      <c r="I2" s="29"/>
    </row>
    <row r="3" spans="1:134" ht="30" customHeight="1" x14ac:dyDescent="0.25">
      <c r="A3" s="23" t="s">
        <v>2</v>
      </c>
      <c r="B3" s="55" t="s">
        <v>61</v>
      </c>
      <c r="C3" s="49" t="s">
        <v>12</v>
      </c>
      <c r="D3" s="50"/>
      <c r="E3" s="54">
        <v>46083</v>
      </c>
      <c r="F3" s="54"/>
    </row>
    <row r="4" spans="1:134" ht="30" customHeight="1" x14ac:dyDescent="0.25">
      <c r="A4" s="24" t="s">
        <v>3</v>
      </c>
      <c r="B4" s="55" t="s">
        <v>58</v>
      </c>
      <c r="C4" s="49" t="s">
        <v>13</v>
      </c>
      <c r="D4" s="50"/>
      <c r="E4" s="6">
        <v>1</v>
      </c>
      <c r="I4" s="51">
        <f>I5</f>
        <v>46083</v>
      </c>
      <c r="J4" s="52"/>
      <c r="K4" s="52"/>
      <c r="L4" s="52"/>
      <c r="M4" s="52"/>
      <c r="N4" s="52"/>
      <c r="O4" s="53"/>
      <c r="P4" s="51">
        <f>P5</f>
        <v>46090</v>
      </c>
      <c r="Q4" s="52"/>
      <c r="R4" s="52"/>
      <c r="S4" s="52"/>
      <c r="T4" s="52"/>
      <c r="U4" s="52"/>
      <c r="V4" s="53"/>
      <c r="W4" s="51">
        <f>W5</f>
        <v>46097</v>
      </c>
      <c r="X4" s="52"/>
      <c r="Y4" s="52"/>
      <c r="Z4" s="52"/>
      <c r="AA4" s="52"/>
      <c r="AB4" s="52"/>
      <c r="AC4" s="53"/>
      <c r="AD4" s="51">
        <f>AD5</f>
        <v>46104</v>
      </c>
      <c r="AE4" s="52"/>
      <c r="AF4" s="52"/>
      <c r="AG4" s="52"/>
      <c r="AH4" s="52"/>
      <c r="AI4" s="52"/>
      <c r="AJ4" s="53"/>
      <c r="AK4" s="51">
        <f>AK5</f>
        <v>46111</v>
      </c>
      <c r="AL4" s="52"/>
      <c r="AM4" s="52"/>
      <c r="AN4" s="52"/>
      <c r="AO4" s="52"/>
      <c r="AP4" s="52"/>
      <c r="AQ4" s="53"/>
      <c r="AR4" s="51">
        <f>AR5</f>
        <v>46118</v>
      </c>
      <c r="AS4" s="52"/>
      <c r="AT4" s="52"/>
      <c r="AU4" s="52"/>
      <c r="AV4" s="52"/>
      <c r="AW4" s="52"/>
      <c r="AX4" s="53"/>
      <c r="AY4" s="51">
        <f>AY5</f>
        <v>46125</v>
      </c>
      <c r="AZ4" s="52"/>
      <c r="BA4" s="52"/>
      <c r="BB4" s="52"/>
      <c r="BC4" s="52"/>
      <c r="BD4" s="52"/>
      <c r="BE4" s="53"/>
      <c r="BF4" s="51">
        <f>BF5</f>
        <v>46132</v>
      </c>
      <c r="BG4" s="52"/>
      <c r="BH4" s="52"/>
      <c r="BI4" s="52"/>
      <c r="BJ4" s="52"/>
      <c r="BK4" s="52"/>
      <c r="BL4" s="53"/>
      <c r="BM4" s="51">
        <f>BM5</f>
        <v>46139</v>
      </c>
      <c r="BN4" s="52"/>
      <c r="BO4" s="52"/>
      <c r="BP4" s="52"/>
      <c r="BQ4" s="52"/>
      <c r="BR4" s="52"/>
      <c r="BS4" s="53"/>
      <c r="BT4" s="51">
        <f>BT5</f>
        <v>46146</v>
      </c>
      <c r="BU4" s="52"/>
      <c r="BV4" s="52"/>
      <c r="BW4" s="52"/>
      <c r="BX4" s="52"/>
      <c r="BY4" s="52"/>
      <c r="BZ4" s="53"/>
      <c r="CA4" s="51">
        <f>CA5</f>
        <v>46153</v>
      </c>
      <c r="CB4" s="52"/>
      <c r="CC4" s="52"/>
      <c r="CD4" s="52"/>
      <c r="CE4" s="52"/>
      <c r="CF4" s="52"/>
      <c r="CG4" s="53"/>
      <c r="CH4" s="51">
        <f>CH5</f>
        <v>46160</v>
      </c>
      <c r="CI4" s="52"/>
      <c r="CJ4" s="52"/>
      <c r="CK4" s="52"/>
      <c r="CL4" s="52"/>
      <c r="CM4" s="52"/>
      <c r="CN4" s="53"/>
      <c r="CO4" s="51">
        <f>CO5</f>
        <v>46167</v>
      </c>
      <c r="CP4" s="52"/>
      <c r="CQ4" s="52"/>
      <c r="CR4" s="52"/>
      <c r="CS4" s="52"/>
      <c r="CT4" s="52"/>
      <c r="CU4" s="53"/>
      <c r="CV4" s="51">
        <f>CV5</f>
        <v>46174</v>
      </c>
      <c r="CW4" s="52"/>
      <c r="CX4" s="52"/>
      <c r="CY4" s="52"/>
      <c r="CZ4" s="52"/>
      <c r="DA4" s="52"/>
      <c r="DB4" s="53"/>
      <c r="DC4" s="51">
        <f>DC5</f>
        <v>46181</v>
      </c>
      <c r="DD4" s="52"/>
      <c r="DE4" s="52"/>
      <c r="DF4" s="52"/>
      <c r="DG4" s="52"/>
      <c r="DH4" s="52"/>
      <c r="DI4" s="53"/>
      <c r="DJ4" s="51">
        <f>DJ5</f>
        <v>46188</v>
      </c>
      <c r="DK4" s="52"/>
      <c r="DL4" s="52"/>
      <c r="DM4" s="52"/>
      <c r="DN4" s="52"/>
      <c r="DO4" s="52"/>
      <c r="DP4" s="53"/>
      <c r="DQ4" s="51">
        <f>DQ5</f>
        <v>46195</v>
      </c>
      <c r="DR4" s="52"/>
      <c r="DS4" s="52"/>
      <c r="DT4" s="52"/>
      <c r="DU4" s="52"/>
      <c r="DV4" s="52"/>
      <c r="DW4" s="53"/>
      <c r="DX4" s="51">
        <f>DX5</f>
        <v>46202</v>
      </c>
      <c r="DY4" s="52"/>
      <c r="DZ4" s="52"/>
      <c r="EA4" s="52"/>
      <c r="EB4" s="52"/>
      <c r="EC4" s="52"/>
      <c r="ED4" s="53"/>
    </row>
    <row r="5" spans="1:134" ht="15" customHeight="1" x14ac:dyDescent="0.25">
      <c r="A5" s="24" t="s">
        <v>4</v>
      </c>
      <c r="B5" s="27"/>
      <c r="C5" s="27"/>
      <c r="D5" s="27"/>
      <c r="E5" s="27"/>
      <c r="F5" s="27"/>
      <c r="G5" s="27"/>
      <c r="I5" s="31">
        <f>Projektanfang-WEEKDAY(Projektanfang,1)+2+7*(Anzeigewoche-1)</f>
        <v>46083</v>
      </c>
      <c r="J5" s="32">
        <f>I5+1</f>
        <v>46084</v>
      </c>
      <c r="K5" s="32">
        <f t="shared" ref="K5:AX5" si="0">J5+1</f>
        <v>46085</v>
      </c>
      <c r="L5" s="32">
        <f t="shared" si="0"/>
        <v>46086</v>
      </c>
      <c r="M5" s="32">
        <f t="shared" si="0"/>
        <v>46087</v>
      </c>
      <c r="N5" s="32">
        <f t="shared" si="0"/>
        <v>46088</v>
      </c>
      <c r="O5" s="33">
        <f t="shared" si="0"/>
        <v>46089</v>
      </c>
      <c r="P5" s="31">
        <f>O5+1</f>
        <v>46090</v>
      </c>
      <c r="Q5" s="32">
        <f>P5+1</f>
        <v>46091</v>
      </c>
      <c r="R5" s="32">
        <f t="shared" si="0"/>
        <v>46092</v>
      </c>
      <c r="S5" s="32">
        <f t="shared" si="0"/>
        <v>46093</v>
      </c>
      <c r="T5" s="32">
        <f t="shared" si="0"/>
        <v>46094</v>
      </c>
      <c r="U5" s="32">
        <f t="shared" si="0"/>
        <v>46095</v>
      </c>
      <c r="V5" s="33">
        <f t="shared" si="0"/>
        <v>46096</v>
      </c>
      <c r="W5" s="31">
        <f>V5+1</f>
        <v>46097</v>
      </c>
      <c r="X5" s="32">
        <f>W5+1</f>
        <v>46098</v>
      </c>
      <c r="Y5" s="32">
        <f t="shared" si="0"/>
        <v>46099</v>
      </c>
      <c r="Z5" s="32">
        <f t="shared" si="0"/>
        <v>46100</v>
      </c>
      <c r="AA5" s="32">
        <f t="shared" si="0"/>
        <v>46101</v>
      </c>
      <c r="AB5" s="32">
        <f t="shared" si="0"/>
        <v>46102</v>
      </c>
      <c r="AC5" s="33">
        <f t="shared" si="0"/>
        <v>46103</v>
      </c>
      <c r="AD5" s="31">
        <f>AC5+1</f>
        <v>46104</v>
      </c>
      <c r="AE5" s="32">
        <f>AD5+1</f>
        <v>46105</v>
      </c>
      <c r="AF5" s="32">
        <f t="shared" si="0"/>
        <v>46106</v>
      </c>
      <c r="AG5" s="32">
        <f t="shared" si="0"/>
        <v>46107</v>
      </c>
      <c r="AH5" s="32">
        <f t="shared" si="0"/>
        <v>46108</v>
      </c>
      <c r="AI5" s="32">
        <f t="shared" si="0"/>
        <v>46109</v>
      </c>
      <c r="AJ5" s="33">
        <f t="shared" si="0"/>
        <v>46110</v>
      </c>
      <c r="AK5" s="31">
        <f>AJ5+1</f>
        <v>46111</v>
      </c>
      <c r="AL5" s="32">
        <f>AK5+1</f>
        <v>46112</v>
      </c>
      <c r="AM5" s="32">
        <f t="shared" si="0"/>
        <v>46113</v>
      </c>
      <c r="AN5" s="32">
        <f t="shared" si="0"/>
        <v>46114</v>
      </c>
      <c r="AO5" s="32">
        <f t="shared" si="0"/>
        <v>46115</v>
      </c>
      <c r="AP5" s="32">
        <f t="shared" si="0"/>
        <v>46116</v>
      </c>
      <c r="AQ5" s="33">
        <f t="shared" si="0"/>
        <v>46117</v>
      </c>
      <c r="AR5" s="31">
        <f>AQ5+1</f>
        <v>46118</v>
      </c>
      <c r="AS5" s="32">
        <f>AR5+1</f>
        <v>46119</v>
      </c>
      <c r="AT5" s="32">
        <f t="shared" si="0"/>
        <v>46120</v>
      </c>
      <c r="AU5" s="32">
        <f t="shared" si="0"/>
        <v>46121</v>
      </c>
      <c r="AV5" s="32">
        <f t="shared" si="0"/>
        <v>46122</v>
      </c>
      <c r="AW5" s="32">
        <f t="shared" si="0"/>
        <v>46123</v>
      </c>
      <c r="AX5" s="33">
        <f t="shared" si="0"/>
        <v>46124</v>
      </c>
      <c r="AY5" s="31">
        <f>AX5+1</f>
        <v>46125</v>
      </c>
      <c r="AZ5" s="32">
        <f>AY5+1</f>
        <v>46126</v>
      </c>
      <c r="BA5" s="32">
        <f t="shared" ref="BA5:BE5" si="1">AZ5+1</f>
        <v>46127</v>
      </c>
      <c r="BB5" s="32">
        <f t="shared" si="1"/>
        <v>46128</v>
      </c>
      <c r="BC5" s="32">
        <f t="shared" si="1"/>
        <v>46129</v>
      </c>
      <c r="BD5" s="32">
        <f t="shared" si="1"/>
        <v>46130</v>
      </c>
      <c r="BE5" s="33">
        <f t="shared" si="1"/>
        <v>46131</v>
      </c>
      <c r="BF5" s="31">
        <f>BE5+1</f>
        <v>46132</v>
      </c>
      <c r="BG5" s="32">
        <f>BF5+1</f>
        <v>46133</v>
      </c>
      <c r="BH5" s="32">
        <f t="shared" ref="BH5:BL5" si="2">BG5+1</f>
        <v>46134</v>
      </c>
      <c r="BI5" s="32">
        <f t="shared" si="2"/>
        <v>46135</v>
      </c>
      <c r="BJ5" s="32">
        <f t="shared" si="2"/>
        <v>46136</v>
      </c>
      <c r="BK5" s="32">
        <f t="shared" si="2"/>
        <v>46137</v>
      </c>
      <c r="BL5" s="33">
        <f t="shared" si="2"/>
        <v>46138</v>
      </c>
      <c r="BM5" s="31">
        <f>BL5+1</f>
        <v>46139</v>
      </c>
      <c r="BN5" s="32">
        <f>BM5+1</f>
        <v>46140</v>
      </c>
      <c r="BO5" s="32">
        <f t="shared" ref="BO5" si="3">BN5+1</f>
        <v>46141</v>
      </c>
      <c r="BP5" s="32">
        <f t="shared" ref="BP5" si="4">BO5+1</f>
        <v>46142</v>
      </c>
      <c r="BQ5" s="32">
        <f t="shared" ref="BQ5" si="5">BP5+1</f>
        <v>46143</v>
      </c>
      <c r="BR5" s="32">
        <f t="shared" ref="BR5" si="6">BQ5+1</f>
        <v>46144</v>
      </c>
      <c r="BS5" s="33">
        <f t="shared" ref="BS5" si="7">BR5+1</f>
        <v>46145</v>
      </c>
      <c r="BT5" s="31">
        <f>BS5+1</f>
        <v>46146</v>
      </c>
      <c r="BU5" s="32">
        <f>BT5+1</f>
        <v>46147</v>
      </c>
      <c r="BV5" s="32">
        <f t="shared" ref="BV5" si="8">BU5+1</f>
        <v>46148</v>
      </c>
      <c r="BW5" s="32">
        <f t="shared" ref="BW5" si="9">BV5+1</f>
        <v>46149</v>
      </c>
      <c r="BX5" s="32">
        <f t="shared" ref="BX5" si="10">BW5+1</f>
        <v>46150</v>
      </c>
      <c r="BY5" s="32">
        <f t="shared" ref="BY5" si="11">BX5+1</f>
        <v>46151</v>
      </c>
      <c r="BZ5" s="33">
        <f t="shared" ref="BZ5" si="12">BY5+1</f>
        <v>46152</v>
      </c>
      <c r="CA5" s="31">
        <f>BZ5+1</f>
        <v>46153</v>
      </c>
      <c r="CB5" s="32">
        <f>CA5+1</f>
        <v>46154</v>
      </c>
      <c r="CC5" s="32">
        <f t="shared" ref="CC5" si="13">CB5+1</f>
        <v>46155</v>
      </c>
      <c r="CD5" s="32">
        <f t="shared" ref="CD5" si="14">CC5+1</f>
        <v>46156</v>
      </c>
      <c r="CE5" s="32">
        <f t="shared" ref="CE5" si="15">CD5+1</f>
        <v>46157</v>
      </c>
      <c r="CF5" s="32">
        <f t="shared" ref="CF5" si="16">CE5+1</f>
        <v>46158</v>
      </c>
      <c r="CG5" s="33">
        <f t="shared" ref="CG5" si="17">CF5+1</f>
        <v>46159</v>
      </c>
      <c r="CH5" s="31">
        <f>CG5+1</f>
        <v>46160</v>
      </c>
      <c r="CI5" s="32">
        <f>CH5+1</f>
        <v>46161</v>
      </c>
      <c r="CJ5" s="32">
        <f t="shared" ref="CJ5" si="18">CI5+1</f>
        <v>46162</v>
      </c>
      <c r="CK5" s="32">
        <f t="shared" ref="CK5" si="19">CJ5+1</f>
        <v>46163</v>
      </c>
      <c r="CL5" s="32">
        <f t="shared" ref="CL5" si="20">CK5+1</f>
        <v>46164</v>
      </c>
      <c r="CM5" s="32">
        <f t="shared" ref="CM5" si="21">CL5+1</f>
        <v>46165</v>
      </c>
      <c r="CN5" s="33">
        <f t="shared" ref="CN5" si="22">CM5+1</f>
        <v>46166</v>
      </c>
      <c r="CO5" s="31">
        <f>CN5+1</f>
        <v>46167</v>
      </c>
      <c r="CP5" s="32">
        <f>CO5+1</f>
        <v>46168</v>
      </c>
      <c r="CQ5" s="32">
        <f t="shared" ref="CQ5" si="23">CP5+1</f>
        <v>46169</v>
      </c>
      <c r="CR5" s="32">
        <f t="shared" ref="CR5" si="24">CQ5+1</f>
        <v>46170</v>
      </c>
      <c r="CS5" s="32">
        <f t="shared" ref="CS5" si="25">CR5+1</f>
        <v>46171</v>
      </c>
      <c r="CT5" s="32">
        <f t="shared" ref="CT5" si="26">CS5+1</f>
        <v>46172</v>
      </c>
      <c r="CU5" s="33">
        <f t="shared" ref="CU5" si="27">CT5+1</f>
        <v>46173</v>
      </c>
      <c r="CV5" s="31">
        <f>CU5+1</f>
        <v>46174</v>
      </c>
      <c r="CW5" s="32">
        <f>CV5+1</f>
        <v>46175</v>
      </c>
      <c r="CX5" s="32">
        <f t="shared" ref="CX5" si="28">CW5+1</f>
        <v>46176</v>
      </c>
      <c r="CY5" s="32">
        <f t="shared" ref="CY5" si="29">CX5+1</f>
        <v>46177</v>
      </c>
      <c r="CZ5" s="32">
        <f t="shared" ref="CZ5" si="30">CY5+1</f>
        <v>46178</v>
      </c>
      <c r="DA5" s="32">
        <f t="shared" ref="DA5" si="31">CZ5+1</f>
        <v>46179</v>
      </c>
      <c r="DB5" s="33">
        <f t="shared" ref="DB5" si="32">DA5+1</f>
        <v>46180</v>
      </c>
      <c r="DC5" s="31">
        <f>DB5+1</f>
        <v>46181</v>
      </c>
      <c r="DD5" s="32">
        <f>DC5+1</f>
        <v>46182</v>
      </c>
      <c r="DE5" s="32">
        <f t="shared" ref="DE5" si="33">DD5+1</f>
        <v>46183</v>
      </c>
      <c r="DF5" s="32">
        <f t="shared" ref="DF5" si="34">DE5+1</f>
        <v>46184</v>
      </c>
      <c r="DG5" s="32">
        <f t="shared" ref="DG5" si="35">DF5+1</f>
        <v>46185</v>
      </c>
      <c r="DH5" s="32">
        <f t="shared" ref="DH5" si="36">DG5+1</f>
        <v>46186</v>
      </c>
      <c r="DI5" s="33">
        <f t="shared" ref="DI5" si="37">DH5+1</f>
        <v>46187</v>
      </c>
      <c r="DJ5" s="31">
        <f>DI5+1</f>
        <v>46188</v>
      </c>
      <c r="DK5" s="32">
        <f>DJ5+1</f>
        <v>46189</v>
      </c>
      <c r="DL5" s="32">
        <f t="shared" ref="DL5" si="38">DK5+1</f>
        <v>46190</v>
      </c>
      <c r="DM5" s="32">
        <f t="shared" ref="DM5" si="39">DL5+1</f>
        <v>46191</v>
      </c>
      <c r="DN5" s="32">
        <f t="shared" ref="DN5" si="40">DM5+1</f>
        <v>46192</v>
      </c>
      <c r="DO5" s="32">
        <f t="shared" ref="DO5" si="41">DN5+1</f>
        <v>46193</v>
      </c>
      <c r="DP5" s="33">
        <f t="shared" ref="DP5" si="42">DO5+1</f>
        <v>46194</v>
      </c>
      <c r="DQ5" s="31">
        <f>DP5+1</f>
        <v>46195</v>
      </c>
      <c r="DR5" s="32">
        <f>DQ5+1</f>
        <v>46196</v>
      </c>
      <c r="DS5" s="32">
        <f t="shared" ref="DS5" si="43">DR5+1</f>
        <v>46197</v>
      </c>
      <c r="DT5" s="32">
        <f t="shared" ref="DT5" si="44">DS5+1</f>
        <v>46198</v>
      </c>
      <c r="DU5" s="32">
        <f t="shared" ref="DU5" si="45">DT5+1</f>
        <v>46199</v>
      </c>
      <c r="DV5" s="32">
        <f t="shared" ref="DV5" si="46">DU5+1</f>
        <v>46200</v>
      </c>
      <c r="DW5" s="33">
        <f t="shared" ref="DW5" si="47">DV5+1</f>
        <v>46201</v>
      </c>
      <c r="DX5" s="31">
        <f>DW5+1</f>
        <v>46202</v>
      </c>
      <c r="DY5" s="32">
        <f>DX5+1</f>
        <v>46203</v>
      </c>
      <c r="DZ5" s="32">
        <f t="shared" ref="DZ5" si="48">DY5+1</f>
        <v>46204</v>
      </c>
      <c r="EA5" s="32">
        <f t="shared" ref="EA5" si="49">DZ5+1</f>
        <v>46205</v>
      </c>
      <c r="EB5" s="32">
        <f t="shared" ref="EB5" si="50">EA5+1</f>
        <v>46206</v>
      </c>
      <c r="EC5" s="32">
        <f t="shared" ref="EC5" si="51">EB5+1</f>
        <v>46207</v>
      </c>
      <c r="ED5" s="33">
        <f t="shared" ref="ED5" si="52">EC5+1</f>
        <v>46208</v>
      </c>
    </row>
    <row r="6" spans="1:134" ht="30" customHeight="1" thickBot="1" x14ac:dyDescent="0.3">
      <c r="A6" s="24" t="s">
        <v>5</v>
      </c>
      <c r="B6" s="7" t="s">
        <v>35</v>
      </c>
      <c r="C6" s="8" t="s">
        <v>36</v>
      </c>
      <c r="D6" s="8" t="s">
        <v>14</v>
      </c>
      <c r="E6" s="8" t="s">
        <v>15</v>
      </c>
      <c r="F6" s="8" t="s">
        <v>16</v>
      </c>
      <c r="G6" s="8"/>
      <c r="H6" s="8" t="s">
        <v>17</v>
      </c>
      <c r="I6" s="9" t="str">
        <f t="shared" ref="I6:AN6" si="53">LEFT(TEXT(I5,"TTT"),1)</f>
        <v>M</v>
      </c>
      <c r="J6" s="9" t="str">
        <f t="shared" si="53"/>
        <v>D</v>
      </c>
      <c r="K6" s="9" t="str">
        <f t="shared" si="53"/>
        <v>M</v>
      </c>
      <c r="L6" s="9" t="str">
        <f t="shared" si="53"/>
        <v>D</v>
      </c>
      <c r="M6" s="9" t="str">
        <f t="shared" si="53"/>
        <v>F</v>
      </c>
      <c r="N6" s="9" t="str">
        <f t="shared" si="53"/>
        <v>S</v>
      </c>
      <c r="O6" s="9" t="str">
        <f t="shared" si="53"/>
        <v>S</v>
      </c>
      <c r="P6" s="9" t="str">
        <f t="shared" si="53"/>
        <v>M</v>
      </c>
      <c r="Q6" s="9" t="str">
        <f t="shared" si="53"/>
        <v>D</v>
      </c>
      <c r="R6" s="9" t="str">
        <f t="shared" si="53"/>
        <v>M</v>
      </c>
      <c r="S6" s="9" t="str">
        <f t="shared" si="53"/>
        <v>D</v>
      </c>
      <c r="T6" s="9" t="str">
        <f t="shared" si="53"/>
        <v>F</v>
      </c>
      <c r="U6" s="9" t="str">
        <f t="shared" si="53"/>
        <v>S</v>
      </c>
      <c r="V6" s="9" t="str">
        <f t="shared" si="53"/>
        <v>S</v>
      </c>
      <c r="W6" s="9" t="str">
        <f t="shared" si="53"/>
        <v>M</v>
      </c>
      <c r="X6" s="9" t="str">
        <f t="shared" si="53"/>
        <v>D</v>
      </c>
      <c r="Y6" s="9" t="str">
        <f t="shared" si="53"/>
        <v>M</v>
      </c>
      <c r="Z6" s="9" t="str">
        <f t="shared" si="53"/>
        <v>D</v>
      </c>
      <c r="AA6" s="9" t="str">
        <f t="shared" si="53"/>
        <v>F</v>
      </c>
      <c r="AB6" s="9" t="str">
        <f t="shared" si="53"/>
        <v>S</v>
      </c>
      <c r="AC6" s="9" t="str">
        <f t="shared" si="53"/>
        <v>S</v>
      </c>
      <c r="AD6" s="9" t="str">
        <f t="shared" si="53"/>
        <v>M</v>
      </c>
      <c r="AE6" s="9" t="str">
        <f t="shared" si="53"/>
        <v>D</v>
      </c>
      <c r="AF6" s="9" t="str">
        <f t="shared" si="53"/>
        <v>M</v>
      </c>
      <c r="AG6" s="9" t="str">
        <f t="shared" si="53"/>
        <v>D</v>
      </c>
      <c r="AH6" s="9" t="str">
        <f t="shared" si="53"/>
        <v>F</v>
      </c>
      <c r="AI6" s="9" t="str">
        <f t="shared" si="53"/>
        <v>S</v>
      </c>
      <c r="AJ6" s="9" t="str">
        <f t="shared" si="53"/>
        <v>S</v>
      </c>
      <c r="AK6" s="9" t="str">
        <f t="shared" si="53"/>
        <v>M</v>
      </c>
      <c r="AL6" s="9" t="str">
        <f t="shared" si="53"/>
        <v>D</v>
      </c>
      <c r="AM6" s="9" t="str">
        <f t="shared" si="53"/>
        <v>M</v>
      </c>
      <c r="AN6" s="9" t="str">
        <f t="shared" si="53"/>
        <v>D</v>
      </c>
      <c r="AO6" s="9" t="str">
        <f t="shared" ref="AO6:BL6" si="54">LEFT(TEXT(AO5,"TTT"),1)</f>
        <v>F</v>
      </c>
      <c r="AP6" s="9" t="str">
        <f t="shared" si="54"/>
        <v>S</v>
      </c>
      <c r="AQ6" s="9" t="str">
        <f t="shared" si="54"/>
        <v>S</v>
      </c>
      <c r="AR6" s="9" t="str">
        <f t="shared" si="54"/>
        <v>M</v>
      </c>
      <c r="AS6" s="9" t="str">
        <f t="shared" si="54"/>
        <v>D</v>
      </c>
      <c r="AT6" s="9" t="str">
        <f t="shared" si="54"/>
        <v>M</v>
      </c>
      <c r="AU6" s="9" t="str">
        <f t="shared" si="54"/>
        <v>D</v>
      </c>
      <c r="AV6" s="9" t="str">
        <f t="shared" si="54"/>
        <v>F</v>
      </c>
      <c r="AW6" s="9" t="str">
        <f t="shared" si="54"/>
        <v>S</v>
      </c>
      <c r="AX6" s="9" t="str">
        <f t="shared" si="54"/>
        <v>S</v>
      </c>
      <c r="AY6" s="9" t="str">
        <f t="shared" si="54"/>
        <v>M</v>
      </c>
      <c r="AZ6" s="9" t="str">
        <f t="shared" si="54"/>
        <v>D</v>
      </c>
      <c r="BA6" s="9" t="str">
        <f t="shared" si="54"/>
        <v>M</v>
      </c>
      <c r="BB6" s="9" t="str">
        <f t="shared" si="54"/>
        <v>D</v>
      </c>
      <c r="BC6" s="9" t="str">
        <f t="shared" si="54"/>
        <v>F</v>
      </c>
      <c r="BD6" s="9" t="str">
        <f t="shared" si="54"/>
        <v>S</v>
      </c>
      <c r="BE6" s="9" t="str">
        <f t="shared" si="54"/>
        <v>S</v>
      </c>
      <c r="BF6" s="9" t="str">
        <f t="shared" si="54"/>
        <v>M</v>
      </c>
      <c r="BG6" s="9" t="str">
        <f t="shared" si="54"/>
        <v>D</v>
      </c>
      <c r="BH6" s="9" t="str">
        <f t="shared" si="54"/>
        <v>M</v>
      </c>
      <c r="BI6" s="9" t="str">
        <f t="shared" si="54"/>
        <v>D</v>
      </c>
      <c r="BJ6" s="9" t="str">
        <f t="shared" si="54"/>
        <v>F</v>
      </c>
      <c r="BK6" s="9" t="str">
        <f t="shared" si="54"/>
        <v>S</v>
      </c>
      <c r="BL6" s="9" t="str">
        <f t="shared" si="54"/>
        <v>S</v>
      </c>
      <c r="BM6" s="9" t="str">
        <f t="shared" ref="BM6" si="55">LEFT(TEXT(BM5,"TTT"),1)</f>
        <v>M</v>
      </c>
      <c r="BN6" s="9" t="str">
        <f t="shared" ref="BN6" si="56">LEFT(TEXT(BN5,"TTT"),1)</f>
        <v>D</v>
      </c>
      <c r="BO6" s="9" t="str">
        <f t="shared" ref="BO6" si="57">LEFT(TEXT(BO5,"TTT"),1)</f>
        <v>M</v>
      </c>
      <c r="BP6" s="9" t="str">
        <f t="shared" ref="BP6" si="58">LEFT(TEXT(BP5,"TTT"),1)</f>
        <v>D</v>
      </c>
      <c r="BQ6" s="9" t="str">
        <f t="shared" ref="BQ6" si="59">LEFT(TEXT(BQ5,"TTT"),1)</f>
        <v>F</v>
      </c>
      <c r="BR6" s="9" t="str">
        <f t="shared" ref="BR6" si="60">LEFT(TEXT(BR5,"TTT"),1)</f>
        <v>S</v>
      </c>
      <c r="BS6" s="9" t="str">
        <f t="shared" ref="BS6" si="61">LEFT(TEXT(BS5,"TTT"),1)</f>
        <v>S</v>
      </c>
      <c r="BT6" s="9" t="str">
        <f t="shared" ref="BT6" si="62">LEFT(TEXT(BT5,"TTT"),1)</f>
        <v>M</v>
      </c>
      <c r="BU6" s="9" t="str">
        <f t="shared" ref="BU6" si="63">LEFT(TEXT(BU5,"TTT"),1)</f>
        <v>D</v>
      </c>
      <c r="BV6" s="9" t="str">
        <f t="shared" ref="BV6" si="64">LEFT(TEXT(BV5,"TTT"),1)</f>
        <v>M</v>
      </c>
      <c r="BW6" s="9" t="str">
        <f t="shared" ref="BW6" si="65">LEFT(TEXT(BW5,"TTT"),1)</f>
        <v>D</v>
      </c>
      <c r="BX6" s="9" t="str">
        <f t="shared" ref="BX6" si="66">LEFT(TEXT(BX5,"TTT"),1)</f>
        <v>F</v>
      </c>
      <c r="BY6" s="9" t="str">
        <f t="shared" ref="BY6" si="67">LEFT(TEXT(BY5,"TTT"),1)</f>
        <v>S</v>
      </c>
      <c r="BZ6" s="9" t="str">
        <f t="shared" ref="BZ6" si="68">LEFT(TEXT(BZ5,"TTT"),1)</f>
        <v>S</v>
      </c>
      <c r="CA6" s="9" t="str">
        <f t="shared" ref="CA6" si="69">LEFT(TEXT(CA5,"TTT"),1)</f>
        <v>M</v>
      </c>
      <c r="CB6" s="9" t="str">
        <f t="shared" ref="CB6" si="70">LEFT(TEXT(CB5,"TTT"),1)</f>
        <v>D</v>
      </c>
      <c r="CC6" s="9" t="str">
        <f t="shared" ref="CC6" si="71">LEFT(TEXT(CC5,"TTT"),1)</f>
        <v>M</v>
      </c>
      <c r="CD6" s="9" t="str">
        <f t="shared" ref="CD6" si="72">LEFT(TEXT(CD5,"TTT"),1)</f>
        <v>D</v>
      </c>
      <c r="CE6" s="9" t="str">
        <f t="shared" ref="CE6" si="73">LEFT(TEXT(CE5,"TTT"),1)</f>
        <v>F</v>
      </c>
      <c r="CF6" s="9" t="str">
        <f t="shared" ref="CF6" si="74">LEFT(TEXT(CF5,"TTT"),1)</f>
        <v>S</v>
      </c>
      <c r="CG6" s="9" t="str">
        <f t="shared" ref="CG6" si="75">LEFT(TEXT(CG5,"TTT"),1)</f>
        <v>S</v>
      </c>
      <c r="CH6" s="9" t="str">
        <f t="shared" ref="CH6" si="76">LEFT(TEXT(CH5,"TTT"),1)</f>
        <v>M</v>
      </c>
      <c r="CI6" s="9" t="str">
        <f t="shared" ref="CI6" si="77">LEFT(TEXT(CI5,"TTT"),1)</f>
        <v>D</v>
      </c>
      <c r="CJ6" s="9" t="str">
        <f t="shared" ref="CJ6" si="78">LEFT(TEXT(CJ5,"TTT"),1)</f>
        <v>M</v>
      </c>
      <c r="CK6" s="9" t="str">
        <f t="shared" ref="CK6" si="79">LEFT(TEXT(CK5,"TTT"),1)</f>
        <v>D</v>
      </c>
      <c r="CL6" s="9" t="str">
        <f t="shared" ref="CL6" si="80">LEFT(TEXT(CL5,"TTT"),1)</f>
        <v>F</v>
      </c>
      <c r="CM6" s="9" t="str">
        <f t="shared" ref="CM6" si="81">LEFT(TEXT(CM5,"TTT"),1)</f>
        <v>S</v>
      </c>
      <c r="CN6" s="9" t="str">
        <f t="shared" ref="CN6:CT6" si="82">LEFT(TEXT(CN5,"TTT"),1)</f>
        <v>S</v>
      </c>
      <c r="CO6" s="9" t="str">
        <f t="shared" si="82"/>
        <v>M</v>
      </c>
      <c r="CP6" s="9" t="str">
        <f t="shared" si="82"/>
        <v>D</v>
      </c>
      <c r="CQ6" s="9" t="str">
        <f t="shared" si="82"/>
        <v>M</v>
      </c>
      <c r="CR6" s="9" t="str">
        <f t="shared" si="82"/>
        <v>D</v>
      </c>
      <c r="CS6" s="9" t="str">
        <f t="shared" si="82"/>
        <v>F</v>
      </c>
      <c r="CT6" s="9" t="str">
        <f t="shared" si="82"/>
        <v>S</v>
      </c>
      <c r="CU6" s="9" t="str">
        <f t="shared" ref="CU6:DI6" si="83">LEFT(TEXT(CU5,"TTT"),1)</f>
        <v>S</v>
      </c>
      <c r="CV6" s="9" t="str">
        <f t="shared" si="83"/>
        <v>M</v>
      </c>
      <c r="CW6" s="9" t="str">
        <f t="shared" si="83"/>
        <v>D</v>
      </c>
      <c r="CX6" s="9" t="str">
        <f t="shared" si="83"/>
        <v>M</v>
      </c>
      <c r="CY6" s="9" t="str">
        <f t="shared" si="83"/>
        <v>D</v>
      </c>
      <c r="CZ6" s="9" t="str">
        <f t="shared" si="83"/>
        <v>F</v>
      </c>
      <c r="DA6" s="9" t="str">
        <f t="shared" si="83"/>
        <v>S</v>
      </c>
      <c r="DB6" s="9" t="str">
        <f t="shared" si="83"/>
        <v>S</v>
      </c>
      <c r="DC6" s="9" t="str">
        <f t="shared" si="83"/>
        <v>M</v>
      </c>
      <c r="DD6" s="9" t="str">
        <f t="shared" si="83"/>
        <v>D</v>
      </c>
      <c r="DE6" s="9" t="str">
        <f t="shared" si="83"/>
        <v>M</v>
      </c>
      <c r="DF6" s="9" t="str">
        <f t="shared" si="83"/>
        <v>D</v>
      </c>
      <c r="DG6" s="9" t="str">
        <f t="shared" si="83"/>
        <v>F</v>
      </c>
      <c r="DH6" s="9" t="str">
        <f t="shared" si="83"/>
        <v>S</v>
      </c>
      <c r="DI6" s="9" t="str">
        <f t="shared" si="83"/>
        <v>S</v>
      </c>
      <c r="DJ6" s="9" t="str">
        <f t="shared" ref="DJ6:DP6" si="84">LEFT(TEXT(DJ5,"TTT"),1)</f>
        <v>M</v>
      </c>
      <c r="DK6" s="9" t="str">
        <f t="shared" si="84"/>
        <v>D</v>
      </c>
      <c r="DL6" s="9" t="str">
        <f t="shared" si="84"/>
        <v>M</v>
      </c>
      <c r="DM6" s="9" t="str">
        <f t="shared" si="84"/>
        <v>D</v>
      </c>
      <c r="DN6" s="9" t="str">
        <f t="shared" si="84"/>
        <v>F</v>
      </c>
      <c r="DO6" s="9" t="str">
        <f t="shared" si="84"/>
        <v>S</v>
      </c>
      <c r="DP6" s="9" t="str">
        <f t="shared" si="84"/>
        <v>S</v>
      </c>
      <c r="DQ6" s="9" t="str">
        <f t="shared" ref="DQ6:ED6" si="85">LEFT(TEXT(DQ5,"TTT"),1)</f>
        <v>M</v>
      </c>
      <c r="DR6" s="9" t="str">
        <f t="shared" si="85"/>
        <v>D</v>
      </c>
      <c r="DS6" s="9" t="str">
        <f t="shared" si="85"/>
        <v>M</v>
      </c>
      <c r="DT6" s="9" t="str">
        <f t="shared" si="85"/>
        <v>D</v>
      </c>
      <c r="DU6" s="9" t="str">
        <f t="shared" si="85"/>
        <v>F</v>
      </c>
      <c r="DV6" s="9" t="str">
        <f t="shared" si="85"/>
        <v>S</v>
      </c>
      <c r="DW6" s="9" t="str">
        <f t="shared" si="85"/>
        <v>S</v>
      </c>
      <c r="DX6" s="9" t="str">
        <f t="shared" si="85"/>
        <v>M</v>
      </c>
      <c r="DY6" s="9" t="str">
        <f t="shared" si="85"/>
        <v>D</v>
      </c>
      <c r="DZ6" s="9" t="str">
        <f t="shared" si="85"/>
        <v>M</v>
      </c>
      <c r="EA6" s="9" t="str">
        <f t="shared" si="85"/>
        <v>D</v>
      </c>
      <c r="EB6" s="9" t="str">
        <f t="shared" si="85"/>
        <v>F</v>
      </c>
      <c r="EC6" s="9" t="str">
        <f t="shared" si="85"/>
        <v>S</v>
      </c>
      <c r="ED6" s="9" t="str">
        <f t="shared" si="85"/>
        <v>S</v>
      </c>
    </row>
    <row r="7" spans="1:134" ht="30" hidden="1" customHeight="1" thickBot="1" x14ac:dyDescent="0.3">
      <c r="A7" s="23" t="s">
        <v>6</v>
      </c>
      <c r="C7" s="25"/>
      <c r="E7"/>
      <c r="H7" t="str">
        <f>IF(OR(ISBLANK(task_start),ISBLANK(task_end)),"",task_end-task_start+1)</f>
        <v/>
      </c>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row>
    <row r="8" spans="1:134" s="3" customFormat="1" ht="30" customHeight="1" thickBot="1" x14ac:dyDescent="0.3">
      <c r="A8" s="24" t="s">
        <v>7</v>
      </c>
      <c r="B8" s="39" t="s">
        <v>70</v>
      </c>
      <c r="C8" s="58" t="s">
        <v>33</v>
      </c>
      <c r="D8" s="34"/>
      <c r="E8" s="35"/>
      <c r="F8" s="36"/>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row>
    <row r="9" spans="1:134" s="3" customFormat="1" ht="30" customHeight="1" thickBot="1" x14ac:dyDescent="0.3">
      <c r="A9" s="24"/>
      <c r="B9" s="40" t="s">
        <v>62</v>
      </c>
      <c r="C9" s="59" t="s">
        <v>66</v>
      </c>
      <c r="D9" s="38"/>
      <c r="E9" s="56"/>
      <c r="F9" s="56"/>
      <c r="G9" s="11"/>
      <c r="H9" s="11"/>
      <c r="I9" s="48"/>
      <c r="J9" s="48"/>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row>
    <row r="10" spans="1:134" s="3" customFormat="1" ht="30" customHeight="1" thickBot="1" x14ac:dyDescent="0.3">
      <c r="A10" s="24" t="s">
        <v>8</v>
      </c>
      <c r="B10" s="41" t="s">
        <v>63</v>
      </c>
      <c r="C10" s="60" t="s">
        <v>34</v>
      </c>
      <c r="D10" s="37"/>
      <c r="E10" s="57"/>
      <c r="F10" s="57"/>
      <c r="G10" s="11"/>
      <c r="H10" s="11"/>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row>
    <row r="11" spans="1:134" s="3" customFormat="1" ht="30" customHeight="1" thickBot="1" x14ac:dyDescent="0.3">
      <c r="A11" s="24" t="s">
        <v>9</v>
      </c>
      <c r="B11" s="41" t="s">
        <v>64</v>
      </c>
      <c r="C11" s="60" t="s">
        <v>67</v>
      </c>
      <c r="D11" s="37"/>
      <c r="E11" s="57"/>
      <c r="F11" s="57"/>
      <c r="G11" s="11"/>
      <c r="H11" s="11"/>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row>
    <row r="12" spans="1:134" s="3" customFormat="1" ht="30" customHeight="1" thickBot="1" x14ac:dyDescent="0.3">
      <c r="A12" s="23"/>
      <c r="B12" s="41" t="s">
        <v>65</v>
      </c>
      <c r="C12" s="60" t="s">
        <v>68</v>
      </c>
      <c r="D12" s="37"/>
      <c r="E12" s="57"/>
      <c r="F12" s="57"/>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48"/>
      <c r="BP12" s="48"/>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row>
    <row r="13" spans="1:134" s="3" customFormat="1" ht="30" customHeight="1" thickBot="1" x14ac:dyDescent="0.3">
      <c r="A13" s="24" t="s">
        <v>10</v>
      </c>
      <c r="B13" s="39" t="s">
        <v>71</v>
      </c>
      <c r="C13" s="34" t="s">
        <v>69</v>
      </c>
      <c r="D13" s="34"/>
      <c r="E13" s="35"/>
      <c r="F13" s="36"/>
      <c r="G13" s="11"/>
      <c r="H13" s="11"/>
      <c r="I13" s="11"/>
      <c r="J13" s="11"/>
      <c r="K13" s="11"/>
      <c r="L13" s="11"/>
      <c r="M13" s="11"/>
      <c r="N13" s="11"/>
      <c r="O13" s="11"/>
      <c r="P13" s="48"/>
      <c r="Q13" s="48"/>
      <c r="R13" s="48"/>
      <c r="S13" s="48"/>
      <c r="T13" s="48"/>
      <c r="U13" s="48"/>
      <c r="V13" s="48"/>
      <c r="W13" s="48"/>
      <c r="X13" s="48"/>
      <c r="Y13" s="48"/>
      <c r="Z13" s="48"/>
      <c r="AA13" s="48"/>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row>
    <row r="14" spans="1:134" s="3" customFormat="1" ht="30" customHeight="1" thickBot="1" x14ac:dyDescent="0.3">
      <c r="A14" s="24"/>
      <c r="B14" s="41" t="s">
        <v>111</v>
      </c>
      <c r="C14" s="60" t="s">
        <v>72</v>
      </c>
      <c r="D14" s="57"/>
      <c r="E14" s="57"/>
      <c r="F14" s="57"/>
      <c r="G14" s="11"/>
      <c r="H14" s="11"/>
      <c r="I14" s="11"/>
      <c r="J14" s="11"/>
      <c r="K14" s="11"/>
      <c r="L14" s="11"/>
      <c r="M14" s="11"/>
      <c r="N14" s="11"/>
      <c r="O14" s="11"/>
      <c r="P14" s="48"/>
      <c r="Q14" s="48"/>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row>
    <row r="15" spans="1:134" s="3" customFormat="1" ht="30" customHeight="1" thickBot="1" x14ac:dyDescent="0.3">
      <c r="A15" s="24"/>
      <c r="B15" s="41" t="s">
        <v>38</v>
      </c>
      <c r="C15" s="60" t="s">
        <v>73</v>
      </c>
      <c r="D15" s="37"/>
      <c r="E15" s="57"/>
      <c r="F15" s="57"/>
      <c r="G15" s="11"/>
      <c r="H15" s="11"/>
      <c r="I15" s="11"/>
      <c r="J15" s="11"/>
      <c r="K15" s="11"/>
      <c r="L15" s="11"/>
      <c r="M15" s="11"/>
      <c r="N15" s="11"/>
      <c r="O15" s="11"/>
      <c r="P15" s="11"/>
      <c r="Q15" s="48"/>
      <c r="R15" s="48"/>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row>
    <row r="16" spans="1:134" s="3" customFormat="1" ht="30" customHeight="1" thickBot="1" x14ac:dyDescent="0.3">
      <c r="A16" s="23"/>
      <c r="B16" s="41" t="s">
        <v>39</v>
      </c>
      <c r="C16" s="60" t="s">
        <v>74</v>
      </c>
      <c r="D16" s="37"/>
      <c r="E16" s="57"/>
      <c r="F16" s="57"/>
      <c r="G16" s="11"/>
      <c r="H16" s="11"/>
      <c r="I16" s="11"/>
      <c r="J16" s="11"/>
      <c r="K16" s="11"/>
      <c r="L16" s="11"/>
      <c r="M16" s="11"/>
      <c r="N16" s="11"/>
      <c r="O16" s="11"/>
      <c r="P16" s="11"/>
      <c r="Q16" s="11"/>
      <c r="R16" s="48"/>
      <c r="S16" s="48"/>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row>
    <row r="17" spans="1:134" s="3" customFormat="1" ht="30" customHeight="1" thickBot="1" x14ac:dyDescent="0.3">
      <c r="A17" s="23"/>
      <c r="B17" s="41" t="s">
        <v>40</v>
      </c>
      <c r="C17" s="60" t="s">
        <v>75</v>
      </c>
      <c r="D17" s="57"/>
      <c r="E17" s="57"/>
      <c r="F17" s="57"/>
      <c r="G17" s="11"/>
      <c r="H17" s="11"/>
      <c r="I17" s="11"/>
      <c r="J17" s="11"/>
      <c r="K17" s="11"/>
      <c r="L17" s="11"/>
      <c r="M17" s="11"/>
      <c r="N17" s="11"/>
      <c r="O17" s="11"/>
      <c r="P17" s="11"/>
      <c r="Q17" s="11"/>
      <c r="R17" s="11"/>
      <c r="S17" s="48"/>
      <c r="T17" s="48"/>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row>
    <row r="18" spans="1:134" s="3" customFormat="1" ht="30" customHeight="1" thickBot="1" x14ac:dyDescent="0.3">
      <c r="A18" s="23"/>
      <c r="B18" s="41" t="s">
        <v>112</v>
      </c>
      <c r="C18" s="61" t="s">
        <v>76</v>
      </c>
      <c r="D18" s="37"/>
      <c r="E18" s="57"/>
      <c r="F18" s="57"/>
      <c r="G18" s="11"/>
      <c r="H18" s="11"/>
      <c r="I18" s="11"/>
      <c r="J18" s="11"/>
      <c r="K18" s="11"/>
      <c r="L18" s="11"/>
      <c r="M18" s="11"/>
      <c r="N18" s="11"/>
      <c r="O18" s="11"/>
      <c r="P18" s="11"/>
      <c r="Q18" s="11"/>
      <c r="R18" s="11"/>
      <c r="S18" s="11"/>
      <c r="T18" s="48"/>
      <c r="U18" s="48"/>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row>
    <row r="19" spans="1:134" s="3" customFormat="1" ht="30" customHeight="1" thickBot="1" x14ac:dyDescent="0.3">
      <c r="A19" s="23"/>
      <c r="B19" s="41" t="s">
        <v>37</v>
      </c>
      <c r="C19" s="61" t="s">
        <v>77</v>
      </c>
      <c r="D19" s="37"/>
      <c r="E19" s="57"/>
      <c r="F19" s="57"/>
      <c r="G19" s="11"/>
      <c r="H19" s="11"/>
      <c r="I19" s="11"/>
      <c r="J19" s="11"/>
      <c r="K19" s="11"/>
      <c r="L19" s="11"/>
      <c r="M19" s="11"/>
      <c r="N19" s="11"/>
      <c r="O19" s="11"/>
      <c r="P19" s="11"/>
      <c r="Q19" s="11"/>
      <c r="R19" s="11"/>
      <c r="S19" s="11"/>
      <c r="T19" s="11"/>
      <c r="U19" s="48"/>
      <c r="V19" s="48"/>
      <c r="W19" s="48"/>
      <c r="X19" s="48"/>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row>
    <row r="20" spans="1:134" s="3" customFormat="1" ht="30" customHeight="1" thickBot="1" x14ac:dyDescent="0.3">
      <c r="A20" s="23"/>
      <c r="B20" s="41" t="s">
        <v>41</v>
      </c>
      <c r="C20" s="61" t="s">
        <v>78</v>
      </c>
      <c r="D20" s="37"/>
      <c r="E20" s="57"/>
      <c r="F20" s="57"/>
      <c r="G20" s="11"/>
      <c r="H20" s="11"/>
      <c r="I20" s="11"/>
      <c r="J20" s="11"/>
      <c r="K20" s="11"/>
      <c r="L20" s="11"/>
      <c r="M20" s="11"/>
      <c r="N20" s="11"/>
      <c r="O20" s="11"/>
      <c r="P20" s="11"/>
      <c r="Q20" s="11"/>
      <c r="R20" s="11"/>
      <c r="S20" s="11"/>
      <c r="T20" s="11"/>
      <c r="U20" s="11"/>
      <c r="V20" s="11"/>
      <c r="W20" s="48"/>
      <c r="X20" s="48"/>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row>
    <row r="21" spans="1:134" s="3" customFormat="1" ht="30" customHeight="1" thickBot="1" x14ac:dyDescent="0.3">
      <c r="A21" s="23"/>
      <c r="B21" s="41" t="s">
        <v>42</v>
      </c>
      <c r="C21" s="61" t="s">
        <v>79</v>
      </c>
      <c r="D21" s="37"/>
      <c r="E21" s="57"/>
      <c r="F21" s="57"/>
      <c r="G21" s="11"/>
      <c r="H21" s="11"/>
      <c r="I21" s="11"/>
      <c r="J21" s="11"/>
      <c r="K21" s="11"/>
      <c r="L21" s="11"/>
      <c r="M21" s="11"/>
      <c r="N21" s="11"/>
      <c r="O21" s="11"/>
      <c r="P21" s="11"/>
      <c r="Q21" s="11"/>
      <c r="R21" s="11"/>
      <c r="S21" s="11"/>
      <c r="T21" s="11"/>
      <c r="U21" s="11"/>
      <c r="V21" s="11"/>
      <c r="W21" s="11"/>
      <c r="X21" s="11"/>
      <c r="Y21" s="48"/>
      <c r="Z21" s="48"/>
      <c r="AA21" s="48"/>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row>
    <row r="22" spans="1:134" s="3" customFormat="1" ht="30" customHeight="1" thickBot="1" x14ac:dyDescent="0.3">
      <c r="A22" s="23"/>
      <c r="B22" s="41" t="s">
        <v>43</v>
      </c>
      <c r="C22" s="61" t="s">
        <v>80</v>
      </c>
      <c r="D22" s="37"/>
      <c r="E22" s="57"/>
      <c r="F22" s="57"/>
      <c r="G22" s="11"/>
      <c r="H22" s="11"/>
      <c r="I22" s="11"/>
      <c r="J22" s="11"/>
      <c r="K22" s="11"/>
      <c r="L22" s="11"/>
      <c r="M22" s="11"/>
      <c r="N22" s="11"/>
      <c r="O22" s="11"/>
      <c r="P22" s="11"/>
      <c r="Q22" s="11"/>
      <c r="R22" s="11"/>
      <c r="S22" s="11"/>
      <c r="T22" s="11"/>
      <c r="U22" s="11"/>
      <c r="V22" s="11"/>
      <c r="W22" s="11"/>
      <c r="X22" s="11"/>
      <c r="Y22" s="48"/>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row>
    <row r="23" spans="1:134" s="3" customFormat="1" ht="30" customHeight="1" thickBot="1" x14ac:dyDescent="0.3">
      <c r="A23" s="23"/>
      <c r="B23" s="41" t="s">
        <v>44</v>
      </c>
      <c r="C23" s="61" t="s">
        <v>81</v>
      </c>
      <c r="D23" s="37"/>
      <c r="E23" s="57"/>
      <c r="F23" s="57"/>
      <c r="G23" s="11"/>
      <c r="H23" s="11"/>
      <c r="I23" s="11"/>
      <c r="J23" s="11"/>
      <c r="K23" s="11"/>
      <c r="L23" s="11"/>
      <c r="M23" s="11"/>
      <c r="N23" s="11"/>
      <c r="O23" s="11"/>
      <c r="P23" s="11"/>
      <c r="Q23" s="11"/>
      <c r="R23" s="11"/>
      <c r="S23" s="11"/>
      <c r="T23" s="11"/>
      <c r="U23" s="11"/>
      <c r="V23" s="11"/>
      <c r="W23" s="11"/>
      <c r="X23" s="11"/>
      <c r="Y23" s="48"/>
      <c r="Z23" s="48"/>
      <c r="AA23" s="48"/>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row>
    <row r="24" spans="1:134" s="3" customFormat="1" ht="30" customHeight="1" thickBot="1" x14ac:dyDescent="0.3">
      <c r="A24" s="23"/>
      <c r="B24" s="41" t="s">
        <v>45</v>
      </c>
      <c r="C24" s="61" t="s">
        <v>82</v>
      </c>
      <c r="D24" s="37"/>
      <c r="E24" s="57"/>
      <c r="F24" s="57"/>
      <c r="G24" s="11"/>
      <c r="H24" s="11"/>
      <c r="I24" s="11"/>
      <c r="J24" s="11"/>
      <c r="K24" s="11"/>
      <c r="L24" s="11"/>
      <c r="M24" s="11"/>
      <c r="N24" s="11"/>
      <c r="O24" s="11"/>
      <c r="P24" s="11"/>
      <c r="Q24" s="11"/>
      <c r="R24" s="11"/>
      <c r="S24" s="11"/>
      <c r="T24" s="11"/>
      <c r="U24" s="11"/>
      <c r="V24" s="11"/>
      <c r="W24" s="11"/>
      <c r="X24" s="11"/>
      <c r="Y24" s="48"/>
      <c r="Z24" s="48"/>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row>
    <row r="25" spans="1:134" s="3" customFormat="1" ht="30" customHeight="1" thickBot="1" x14ac:dyDescent="0.3">
      <c r="A25" s="23"/>
      <c r="B25" s="41" t="s">
        <v>46</v>
      </c>
      <c r="C25" s="61" t="s">
        <v>83</v>
      </c>
      <c r="D25" s="37"/>
      <c r="E25" s="57"/>
      <c r="F25" s="57"/>
      <c r="G25" s="11"/>
      <c r="H25" s="11"/>
      <c r="I25" s="11"/>
      <c r="J25" s="11"/>
      <c r="K25" s="11"/>
      <c r="L25" s="11"/>
      <c r="M25" s="11"/>
      <c r="N25" s="11"/>
      <c r="O25" s="11"/>
      <c r="P25" s="11"/>
      <c r="Q25" s="11"/>
      <c r="R25" s="11"/>
      <c r="S25" s="11"/>
      <c r="T25" s="11"/>
      <c r="U25" s="11"/>
      <c r="V25" s="11"/>
      <c r="W25" s="11"/>
      <c r="X25" s="11"/>
      <c r="Y25" s="48"/>
      <c r="Z25" s="48"/>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row>
    <row r="26" spans="1:134" s="3" customFormat="1" ht="30" customHeight="1" thickBot="1" x14ac:dyDescent="0.3">
      <c r="A26" s="23" t="s">
        <v>11</v>
      </c>
      <c r="B26" s="41" t="s">
        <v>47</v>
      </c>
      <c r="C26" s="45" t="s">
        <v>86</v>
      </c>
      <c r="D26" s="42"/>
      <c r="E26" s="43"/>
      <c r="F26" s="44"/>
      <c r="G26" s="11"/>
      <c r="H26" s="11"/>
      <c r="I26" s="11"/>
      <c r="J26" s="11"/>
      <c r="K26" s="11"/>
      <c r="L26" s="11"/>
      <c r="M26" s="11"/>
      <c r="N26" s="11"/>
      <c r="O26" s="11"/>
      <c r="P26" s="11"/>
      <c r="Q26" s="11"/>
      <c r="R26" s="11"/>
      <c r="S26" s="11"/>
      <c r="T26" s="11"/>
      <c r="U26" s="11"/>
      <c r="V26" s="11"/>
      <c r="W26" s="11"/>
      <c r="X26" s="11"/>
      <c r="Y26" s="11"/>
      <c r="Z26" s="11"/>
      <c r="AA26" s="48"/>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row>
    <row r="27" spans="1:134" s="3" customFormat="1" ht="30" customHeight="1" thickBot="1" x14ac:dyDescent="0.3">
      <c r="A27" s="23"/>
      <c r="B27" s="41" t="s">
        <v>48</v>
      </c>
      <c r="C27" s="45" t="s">
        <v>84</v>
      </c>
      <c r="D27" s="42"/>
      <c r="E27" s="43"/>
      <c r="F27" s="44"/>
      <c r="G27" s="11"/>
      <c r="H27" s="11"/>
      <c r="I27" s="11"/>
      <c r="J27" s="11"/>
      <c r="K27" s="11"/>
      <c r="L27" s="11"/>
      <c r="M27" s="11"/>
      <c r="N27" s="11"/>
      <c r="O27" s="11"/>
      <c r="P27" s="11"/>
      <c r="Q27" s="11"/>
      <c r="R27" s="11"/>
      <c r="S27" s="11"/>
      <c r="T27" s="11"/>
      <c r="U27" s="11"/>
      <c r="V27" s="11"/>
      <c r="W27" s="11"/>
      <c r="X27" s="11"/>
      <c r="Y27" s="11"/>
      <c r="Z27" s="11"/>
      <c r="AA27" s="48"/>
      <c r="AB27" s="48"/>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row>
    <row r="28" spans="1:134" s="3" customFormat="1" ht="30" customHeight="1" thickBot="1" x14ac:dyDescent="0.3">
      <c r="A28" s="23"/>
      <c r="B28" s="41" t="s">
        <v>113</v>
      </c>
      <c r="C28" s="61" t="s">
        <v>85</v>
      </c>
      <c r="D28" s="37"/>
      <c r="E28" s="57"/>
      <c r="F28" s="57"/>
      <c r="G28" s="11"/>
      <c r="H28" s="11"/>
      <c r="I28" s="11"/>
      <c r="J28" s="11"/>
      <c r="K28" s="11"/>
      <c r="L28" s="11"/>
      <c r="M28" s="11"/>
      <c r="N28" s="11"/>
      <c r="O28" s="11"/>
      <c r="P28" s="11"/>
      <c r="Q28" s="11"/>
      <c r="R28" s="11"/>
      <c r="S28" s="11"/>
      <c r="T28" s="11"/>
      <c r="U28" s="11"/>
      <c r="V28" s="11"/>
      <c r="W28" s="11"/>
      <c r="X28" s="11"/>
      <c r="Y28" s="11"/>
      <c r="Z28" s="48"/>
      <c r="AA28" s="48"/>
      <c r="AB28" s="48"/>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row>
    <row r="29" spans="1:134" s="3" customFormat="1" ht="30" customHeight="1" thickBot="1" x14ac:dyDescent="0.3">
      <c r="A29" s="23" t="s">
        <v>11</v>
      </c>
      <c r="B29" s="47" t="s">
        <v>114</v>
      </c>
      <c r="C29" s="62" t="s">
        <v>87</v>
      </c>
      <c r="D29" s="38"/>
      <c r="E29" s="56"/>
      <c r="F29" s="56"/>
      <c r="G29" s="10"/>
      <c r="H29" s="10" t="str">
        <f t="shared" ref="H29:H50" si="86">IF(OR(ISBLANK(task_start),ISBLANK(task_end)),"",task_end-task_start+1)</f>
        <v/>
      </c>
      <c r="I29" s="11"/>
      <c r="J29" s="11"/>
      <c r="K29" s="11"/>
      <c r="L29" s="11"/>
      <c r="M29" s="11"/>
      <c r="N29" s="11"/>
      <c r="O29" s="11"/>
      <c r="P29" s="11"/>
      <c r="Q29" s="11"/>
      <c r="R29" s="11"/>
      <c r="S29" s="11"/>
      <c r="T29" s="11"/>
      <c r="U29" s="11"/>
      <c r="V29" s="11"/>
      <c r="W29" s="11"/>
      <c r="X29" s="11"/>
      <c r="Y29" s="11"/>
      <c r="Z29" s="11"/>
      <c r="AA29" s="11"/>
      <c r="AB29" s="11"/>
      <c r="AC29" s="11"/>
      <c r="AD29" s="48"/>
      <c r="AE29" s="48"/>
      <c r="AF29" s="48"/>
      <c r="AG29" s="48"/>
      <c r="AH29" s="48"/>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row>
    <row r="30" spans="1:134" s="3" customFormat="1" ht="30" customHeight="1" thickBot="1" x14ac:dyDescent="0.3">
      <c r="A30" s="23"/>
      <c r="B30" s="46" t="s">
        <v>56</v>
      </c>
      <c r="C30" s="45" t="s">
        <v>88</v>
      </c>
      <c r="D30" s="42"/>
      <c r="E30" s="43"/>
      <c r="F30" s="44"/>
      <c r="G30" s="10"/>
      <c r="H30" s="10" t="str">
        <f t="shared" si="86"/>
        <v/>
      </c>
      <c r="I30" s="11"/>
      <c r="J30" s="11"/>
      <c r="K30" s="11"/>
      <c r="L30" s="11"/>
      <c r="M30" s="11"/>
      <c r="N30" s="11"/>
      <c r="O30" s="11"/>
      <c r="P30" s="11"/>
      <c r="Q30" s="11"/>
      <c r="R30" s="11"/>
      <c r="S30" s="11"/>
      <c r="T30" s="11"/>
      <c r="U30" s="11"/>
      <c r="V30" s="11"/>
      <c r="W30" s="11"/>
      <c r="X30" s="11"/>
      <c r="Y30" s="11"/>
      <c r="Z30" s="11"/>
      <c r="AA30" s="11"/>
      <c r="AB30" s="11"/>
      <c r="AC30" s="11"/>
      <c r="AD30" s="48"/>
      <c r="AE30" s="48"/>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row>
    <row r="31" spans="1:134" s="3" customFormat="1" ht="30" customHeight="1" thickBot="1" x14ac:dyDescent="0.3">
      <c r="A31" s="23"/>
      <c r="B31" s="46" t="s">
        <v>57</v>
      </c>
      <c r="C31" s="45" t="s">
        <v>89</v>
      </c>
      <c r="D31" s="37"/>
      <c r="E31" s="57"/>
      <c r="F31" s="57"/>
      <c r="G31" s="10"/>
      <c r="H31" s="10" t="str">
        <f t="shared" si="86"/>
        <v/>
      </c>
      <c r="I31" s="11"/>
      <c r="J31" s="11"/>
      <c r="K31" s="11"/>
      <c r="L31" s="11"/>
      <c r="M31" s="11"/>
      <c r="N31" s="11"/>
      <c r="O31" s="11"/>
      <c r="P31" s="11"/>
      <c r="Q31" s="11"/>
      <c r="R31" s="11"/>
      <c r="S31" s="11"/>
      <c r="T31" s="11"/>
      <c r="U31" s="11"/>
      <c r="V31" s="11"/>
      <c r="W31" s="11"/>
      <c r="X31" s="11"/>
      <c r="Y31" s="11"/>
      <c r="Z31" s="11"/>
      <c r="AA31" s="11"/>
      <c r="AB31" s="11"/>
      <c r="AC31" s="11"/>
      <c r="AD31" s="11"/>
      <c r="AE31" s="48"/>
      <c r="AF31" s="48"/>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row>
    <row r="32" spans="1:134" s="3" customFormat="1" ht="30" customHeight="1" thickBot="1" x14ac:dyDescent="0.3">
      <c r="A32" s="23"/>
      <c r="B32" s="46" t="s">
        <v>115</v>
      </c>
      <c r="C32" s="45" t="s">
        <v>90</v>
      </c>
      <c r="D32" s="37"/>
      <c r="E32" s="63"/>
      <c r="F32" s="57"/>
      <c r="G32" s="10"/>
      <c r="H32" s="10" t="str">
        <f t="shared" si="86"/>
        <v/>
      </c>
      <c r="I32" s="11"/>
      <c r="J32" s="11"/>
      <c r="K32" s="11"/>
      <c r="L32" s="11"/>
      <c r="M32" s="11"/>
      <c r="N32" s="11"/>
      <c r="O32" s="11"/>
      <c r="P32" s="11"/>
      <c r="Q32" s="11"/>
      <c r="R32" s="11"/>
      <c r="S32" s="11"/>
      <c r="T32" s="11"/>
      <c r="U32" s="11"/>
      <c r="V32" s="11"/>
      <c r="W32" s="11"/>
      <c r="X32" s="11"/>
      <c r="Y32" s="11"/>
      <c r="Z32" s="11"/>
      <c r="AA32" s="11"/>
      <c r="AB32" s="11"/>
      <c r="AC32" s="11"/>
      <c r="AD32" s="11"/>
      <c r="AE32" s="11"/>
      <c r="AF32" s="48"/>
      <c r="AG32" s="48"/>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row>
    <row r="33" spans="1:134" s="3" customFormat="1" ht="30" customHeight="1" thickBot="1" x14ac:dyDescent="0.3">
      <c r="A33" s="23"/>
      <c r="B33" s="46" t="s">
        <v>116</v>
      </c>
      <c r="C33" s="45" t="s">
        <v>91</v>
      </c>
      <c r="D33" s="37"/>
      <c r="E33" s="57"/>
      <c r="F33" s="57"/>
      <c r="G33" s="10"/>
      <c r="H33" s="10" t="str">
        <f t="shared" si="86"/>
        <v/>
      </c>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48"/>
      <c r="AH33" s="48"/>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row>
    <row r="34" spans="1:134" s="3" customFormat="1" ht="30" customHeight="1" thickBot="1" x14ac:dyDescent="0.3">
      <c r="A34" s="23" t="s">
        <v>11</v>
      </c>
      <c r="B34" s="47" t="s">
        <v>53</v>
      </c>
      <c r="C34" s="62" t="s">
        <v>92</v>
      </c>
      <c r="D34" s="38"/>
      <c r="E34" s="56"/>
      <c r="F34" s="56"/>
      <c r="G34" s="10"/>
      <c r="H34" s="10" t="str">
        <f t="shared" si="86"/>
        <v/>
      </c>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row>
    <row r="35" spans="1:134" s="3" customFormat="1" ht="30" customHeight="1" thickBot="1" x14ac:dyDescent="0.3">
      <c r="A35" s="23"/>
      <c r="B35" s="46" t="s">
        <v>54</v>
      </c>
      <c r="C35" s="45" t="s">
        <v>94</v>
      </c>
      <c r="D35" s="42"/>
      <c r="E35" s="43"/>
      <c r="F35" s="44"/>
      <c r="G35" s="10"/>
      <c r="H35" s="10" t="str">
        <f t="shared" si="86"/>
        <v/>
      </c>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48"/>
      <c r="AL35" s="48"/>
      <c r="AM35" s="48"/>
      <c r="AN35" s="48"/>
      <c r="AO35" s="48"/>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row>
    <row r="36" spans="1:134" s="3" customFormat="1" ht="30" customHeight="1" thickBot="1" x14ac:dyDescent="0.3">
      <c r="A36" s="23"/>
      <c r="B36" s="46" t="s">
        <v>117</v>
      </c>
      <c r="C36" s="61" t="s">
        <v>95</v>
      </c>
      <c r="D36" s="37"/>
      <c r="E36" s="57"/>
      <c r="F36" s="57"/>
      <c r="G36" s="10"/>
      <c r="H36" s="10" t="str">
        <f t="shared" si="86"/>
        <v/>
      </c>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48"/>
      <c r="AO36" s="48"/>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row>
    <row r="37" spans="1:134" s="3" customFormat="1" ht="30" customHeight="1" thickBot="1" x14ac:dyDescent="0.3">
      <c r="A37" s="23"/>
      <c r="B37" s="46" t="s">
        <v>118</v>
      </c>
      <c r="C37" s="61" t="s">
        <v>96</v>
      </c>
      <c r="D37" s="37"/>
      <c r="E37" s="57"/>
      <c r="F37" s="57"/>
      <c r="G37" s="10"/>
      <c r="H37" s="10" t="str">
        <f t="shared" si="86"/>
        <v/>
      </c>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48"/>
      <c r="AS37" s="48"/>
      <c r="AT37" s="48"/>
      <c r="AU37" s="48"/>
      <c r="AV37" s="48"/>
      <c r="AW37" s="48"/>
      <c r="AX37" s="48"/>
      <c r="AY37" s="48"/>
      <c r="AZ37" s="48"/>
      <c r="BA37" s="48"/>
      <c r="BB37" s="48"/>
      <c r="BC37" s="48"/>
      <c r="BD37" s="48"/>
      <c r="BE37" s="48"/>
      <c r="BF37" s="48"/>
      <c r="BG37" s="48"/>
      <c r="BH37" s="48"/>
      <c r="BI37" s="48"/>
      <c r="BJ37" s="48"/>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row>
    <row r="38" spans="1:134" s="3" customFormat="1" ht="30" customHeight="1" thickBot="1" x14ac:dyDescent="0.3">
      <c r="A38" s="23" t="s">
        <v>11</v>
      </c>
      <c r="B38" s="46" t="s">
        <v>55</v>
      </c>
      <c r="C38" s="61" t="s">
        <v>97</v>
      </c>
      <c r="D38" s="37"/>
      <c r="E38" s="57"/>
      <c r="F38" s="57"/>
      <c r="G38" s="10"/>
      <c r="H38" s="10" t="str">
        <f t="shared" si="86"/>
        <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48"/>
      <c r="AR38" s="48"/>
      <c r="AS38" s="48"/>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row>
    <row r="39" spans="1:134" s="3" customFormat="1" ht="30" customHeight="1" thickBot="1" x14ac:dyDescent="0.3">
      <c r="A39" s="23"/>
      <c r="B39" s="46" t="s">
        <v>119</v>
      </c>
      <c r="C39" s="61" t="s">
        <v>98</v>
      </c>
      <c r="D39" s="37"/>
      <c r="E39" s="57"/>
      <c r="F39" s="57"/>
      <c r="G39" s="10"/>
      <c r="H39" s="10" t="str">
        <f t="shared" si="86"/>
        <v/>
      </c>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48"/>
      <c r="AT39" s="48"/>
      <c r="AU39" s="48"/>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row>
    <row r="40" spans="1:134" s="3" customFormat="1" ht="30" customHeight="1" thickBot="1" x14ac:dyDescent="0.3">
      <c r="A40" s="23"/>
      <c r="B40" s="46" t="s">
        <v>120</v>
      </c>
      <c r="C40" s="61" t="s">
        <v>99</v>
      </c>
      <c r="D40" s="37"/>
      <c r="E40" s="57"/>
      <c r="F40" s="57"/>
      <c r="G40" s="10"/>
      <c r="H40" s="10" t="str">
        <f t="shared" si="86"/>
        <v/>
      </c>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48"/>
      <c r="AZ40" s="48"/>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row>
    <row r="41" spans="1:134" s="3" customFormat="1" ht="30" customHeight="1" thickBot="1" x14ac:dyDescent="0.3">
      <c r="A41" s="23"/>
      <c r="B41" s="46" t="s">
        <v>121</v>
      </c>
      <c r="C41" s="61" t="s">
        <v>100</v>
      </c>
      <c r="D41" s="37"/>
      <c r="E41" s="57"/>
      <c r="F41" s="57"/>
      <c r="G41" s="10"/>
      <c r="H41" s="10" t="str">
        <f t="shared" si="86"/>
        <v/>
      </c>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48"/>
      <c r="BA41" s="48"/>
      <c r="BB41" s="48"/>
      <c r="BC41" s="48"/>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row>
    <row r="42" spans="1:134" s="3" customFormat="1" ht="30" customHeight="1" thickBot="1" x14ac:dyDescent="0.3">
      <c r="A42" s="23"/>
      <c r="B42" s="46" t="s">
        <v>122</v>
      </c>
      <c r="C42" s="61" t="s">
        <v>101</v>
      </c>
      <c r="D42" s="37"/>
      <c r="E42" s="57"/>
      <c r="F42" s="57"/>
      <c r="G42" s="10"/>
      <c r="H42" s="10"/>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48"/>
      <c r="BG42" s="48"/>
      <c r="BH42" s="48"/>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row>
    <row r="43" spans="1:134" s="3" customFormat="1" ht="30" customHeight="1" thickBot="1" x14ac:dyDescent="0.3">
      <c r="A43" s="23"/>
      <c r="B43" s="46" t="s">
        <v>123</v>
      </c>
      <c r="C43" s="61" t="s">
        <v>102</v>
      </c>
      <c r="D43" s="37"/>
      <c r="E43" s="57"/>
      <c r="F43" s="57"/>
      <c r="G43" s="10"/>
      <c r="H43" s="10"/>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48"/>
      <c r="BI43" s="48"/>
      <c r="BJ43" s="48"/>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row>
    <row r="44" spans="1:134" s="3" customFormat="1" ht="30" customHeight="1" thickBot="1" x14ac:dyDescent="0.3">
      <c r="A44" s="23" t="s">
        <v>11</v>
      </c>
      <c r="B44" s="46" t="s">
        <v>110</v>
      </c>
      <c r="C44" s="61" t="s">
        <v>124</v>
      </c>
      <c r="D44" s="37"/>
      <c r="E44" s="57"/>
      <c r="F44" s="57"/>
      <c r="G44" s="10"/>
      <c r="H44" s="10" t="str">
        <f t="shared" si="86"/>
        <v/>
      </c>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48"/>
      <c r="BE44" s="48"/>
      <c r="BF44" s="48"/>
      <c r="BG44" s="48"/>
      <c r="BH44" s="48"/>
      <c r="BI44" s="48"/>
      <c r="BJ44" s="48"/>
      <c r="BK44" s="48"/>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row>
    <row r="45" spans="1:134" s="3" customFormat="1" ht="30" customHeight="1" thickBot="1" x14ac:dyDescent="0.3">
      <c r="A45" s="23" t="s">
        <v>11</v>
      </c>
      <c r="B45" s="47" t="s">
        <v>49</v>
      </c>
      <c r="C45" s="62" t="s">
        <v>103</v>
      </c>
      <c r="D45" s="38"/>
      <c r="E45" s="56"/>
      <c r="F45" s="56"/>
      <c r="G45" s="10"/>
      <c r="H45" s="10" t="str">
        <f t="shared" si="86"/>
        <v/>
      </c>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48"/>
      <c r="BN45" s="48"/>
      <c r="BO45" s="48"/>
      <c r="BP45" s="48"/>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row>
    <row r="46" spans="1:134" s="3" customFormat="1" ht="30" customHeight="1" thickBot="1" x14ac:dyDescent="0.3">
      <c r="A46" s="23"/>
      <c r="B46" s="46" t="s">
        <v>50</v>
      </c>
      <c r="C46" s="45" t="s">
        <v>104</v>
      </c>
      <c r="D46" s="42"/>
      <c r="E46" s="43"/>
      <c r="F46" s="44"/>
      <c r="G46" s="10"/>
      <c r="H46" s="10" t="str">
        <f t="shared" si="86"/>
        <v/>
      </c>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48"/>
      <c r="BN46" s="48"/>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row>
    <row r="47" spans="1:134" s="3" customFormat="1" ht="30" customHeight="1" thickBot="1" x14ac:dyDescent="0.3">
      <c r="A47" s="23"/>
      <c r="B47" s="46" t="s">
        <v>51</v>
      </c>
      <c r="C47" s="61" t="s">
        <v>105</v>
      </c>
      <c r="D47" s="37"/>
      <c r="E47" s="57"/>
      <c r="F47" s="57"/>
      <c r="G47" s="10"/>
      <c r="H47" s="10" t="str">
        <f t="shared" si="86"/>
        <v/>
      </c>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48"/>
      <c r="BO47" s="48"/>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row>
    <row r="48" spans="1:134" s="3" customFormat="1" ht="30" customHeight="1" thickBot="1" x14ac:dyDescent="0.3">
      <c r="A48" s="23"/>
      <c r="B48" s="46" t="s">
        <v>52</v>
      </c>
      <c r="C48" s="61" t="s">
        <v>106</v>
      </c>
      <c r="D48" s="37"/>
      <c r="E48" s="57"/>
      <c r="F48" s="57"/>
      <c r="G48" s="10"/>
      <c r="H48" s="10" t="str">
        <f t="shared" si="86"/>
        <v/>
      </c>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48"/>
      <c r="BP48" s="48"/>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row>
    <row r="49" spans="1:134" s="3" customFormat="1" ht="30" customHeight="1" thickBot="1" x14ac:dyDescent="0.3">
      <c r="A49" s="23" t="s">
        <v>11</v>
      </c>
      <c r="B49" s="46" t="s">
        <v>93</v>
      </c>
      <c r="C49" s="61" t="s">
        <v>107</v>
      </c>
      <c r="D49" s="37"/>
      <c r="E49" s="57"/>
      <c r="F49" s="57"/>
      <c r="G49" s="10"/>
      <c r="H49" s="10" t="str">
        <f t="shared" si="86"/>
        <v/>
      </c>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48"/>
      <c r="BP49" s="48"/>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row>
    <row r="50" spans="1:134" s="3" customFormat="1" ht="30" customHeight="1" thickBot="1" x14ac:dyDescent="0.3">
      <c r="A50" s="23"/>
      <c r="B50" s="41" t="s">
        <v>109</v>
      </c>
      <c r="C50" s="61" t="s">
        <v>108</v>
      </c>
      <c r="D50" s="37"/>
      <c r="E50" s="57"/>
      <c r="F50" s="57"/>
      <c r="G50" s="10"/>
      <c r="H50" s="10" t="str">
        <f t="shared" si="86"/>
        <v/>
      </c>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48"/>
      <c r="BP50" s="48"/>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row>
    <row r="51" spans="1:134" ht="30" customHeight="1" x14ac:dyDescent="0.25">
      <c r="B51" s="5"/>
    </row>
    <row r="52" spans="1:134" ht="30" customHeight="1" x14ac:dyDescent="0.25">
      <c r="B52" s="5"/>
    </row>
    <row r="53" spans="1:134" ht="30" customHeight="1" x14ac:dyDescent="0.25">
      <c r="B53" s="5"/>
    </row>
    <row r="54" spans="1:134" ht="30" customHeight="1" x14ac:dyDescent="0.25">
      <c r="B54" s="5"/>
    </row>
    <row r="55" spans="1:134" ht="30" customHeight="1" x14ac:dyDescent="0.25">
      <c r="B55" s="5"/>
    </row>
    <row r="56" spans="1:134" ht="30" customHeight="1" x14ac:dyDescent="0.25">
      <c r="B56" s="5"/>
    </row>
    <row r="57" spans="1:134" ht="30" customHeight="1" x14ac:dyDescent="0.25">
      <c r="B57" s="5"/>
    </row>
    <row r="58" spans="1:134" ht="30" customHeight="1" x14ac:dyDescent="0.25">
      <c r="B58" s="5"/>
    </row>
    <row r="59" spans="1:134" ht="30" customHeight="1" x14ac:dyDescent="0.25">
      <c r="B59" s="5"/>
    </row>
    <row r="60" spans="1:134" ht="30" customHeight="1" x14ac:dyDescent="0.25">
      <c r="B60" s="5"/>
    </row>
    <row r="61" spans="1:134" ht="30" customHeight="1" x14ac:dyDescent="0.25">
      <c r="B61" s="5"/>
    </row>
    <row r="62" spans="1:134" ht="30" customHeight="1" x14ac:dyDescent="0.25">
      <c r="B62" s="5"/>
    </row>
    <row r="63" spans="1:134" ht="30" customHeight="1" x14ac:dyDescent="0.25">
      <c r="B63" s="5"/>
    </row>
    <row r="64" spans="1:134" ht="30" customHeight="1" x14ac:dyDescent="0.25">
      <c r="B64" s="5"/>
    </row>
    <row r="65" spans="2:2" ht="30" customHeight="1" x14ac:dyDescent="0.25">
      <c r="B65" s="5"/>
    </row>
    <row r="66" spans="2:2" ht="30" customHeight="1" x14ac:dyDescent="0.25">
      <c r="B66" s="5"/>
    </row>
    <row r="67" spans="2:2" ht="30" customHeight="1" x14ac:dyDescent="0.25">
      <c r="B67" s="5"/>
    </row>
    <row r="68" spans="2:2" ht="30" customHeight="1" x14ac:dyDescent="0.25">
      <c r="B68" s="5"/>
    </row>
    <row r="69" spans="2:2" ht="30" customHeight="1" x14ac:dyDescent="0.25">
      <c r="B69" s="5"/>
    </row>
    <row r="70" spans="2:2" ht="30" customHeight="1" x14ac:dyDescent="0.25">
      <c r="B70" s="5"/>
    </row>
    <row r="71" spans="2:2" ht="30" customHeight="1" x14ac:dyDescent="0.25">
      <c r="B71" s="5"/>
    </row>
    <row r="72" spans="2:2" ht="30" customHeight="1" x14ac:dyDescent="0.25">
      <c r="B72" s="5"/>
    </row>
    <row r="73" spans="2:2" ht="30" customHeight="1" x14ac:dyDescent="0.25">
      <c r="B73" s="5"/>
    </row>
    <row r="74" spans="2:2" ht="30" customHeight="1" x14ac:dyDescent="0.25">
      <c r="B74" s="5"/>
    </row>
    <row r="75" spans="2:2" ht="30" customHeight="1" x14ac:dyDescent="0.25">
      <c r="B75" s="5"/>
    </row>
    <row r="76" spans="2:2" ht="30" customHeight="1" x14ac:dyDescent="0.25">
      <c r="B76" s="5"/>
    </row>
    <row r="77" spans="2:2" ht="30" customHeight="1" x14ac:dyDescent="0.25">
      <c r="B77" s="5"/>
    </row>
    <row r="78" spans="2:2" ht="30" customHeight="1" x14ac:dyDescent="0.25">
      <c r="B78" s="5"/>
    </row>
    <row r="79" spans="2:2" ht="30" customHeight="1" x14ac:dyDescent="0.25">
      <c r="B79" s="5"/>
    </row>
    <row r="80" spans="2:2" ht="30" customHeight="1" x14ac:dyDescent="0.25">
      <c r="B80" s="5"/>
    </row>
    <row r="81" spans="2:2" ht="30" customHeight="1" x14ac:dyDescent="0.25">
      <c r="B81" s="5"/>
    </row>
    <row r="82" spans="2:2" ht="30" customHeight="1" x14ac:dyDescent="0.25">
      <c r="B82" s="5"/>
    </row>
    <row r="83" spans="2:2" ht="30" customHeight="1" x14ac:dyDescent="0.25">
      <c r="B83" s="5"/>
    </row>
    <row r="84" spans="2:2" ht="30" customHeight="1" x14ac:dyDescent="0.25">
      <c r="B84" s="5"/>
    </row>
    <row r="85" spans="2:2" ht="30" customHeight="1" x14ac:dyDescent="0.25">
      <c r="B85" s="5"/>
    </row>
    <row r="86" spans="2:2" ht="30" customHeight="1" x14ac:dyDescent="0.25">
      <c r="B86" s="5"/>
    </row>
    <row r="87" spans="2:2" ht="30" customHeight="1" x14ac:dyDescent="0.25">
      <c r="B87" s="5"/>
    </row>
    <row r="88" spans="2:2" ht="30" customHeight="1" x14ac:dyDescent="0.25">
      <c r="B88" s="5"/>
    </row>
    <row r="89" spans="2:2" ht="30" customHeight="1" x14ac:dyDescent="0.25">
      <c r="B89" s="5"/>
    </row>
    <row r="90" spans="2:2" ht="30" customHeight="1" x14ac:dyDescent="0.25">
      <c r="B90" s="5"/>
    </row>
    <row r="91" spans="2:2" ht="30" customHeight="1" x14ac:dyDescent="0.25">
      <c r="B91" s="5"/>
    </row>
    <row r="92" spans="2:2" ht="30" customHeight="1" x14ac:dyDescent="0.25">
      <c r="B92" s="5"/>
    </row>
    <row r="93" spans="2:2" ht="30" customHeight="1" x14ac:dyDescent="0.25">
      <c r="B93" s="5"/>
    </row>
    <row r="94" spans="2:2" ht="30" customHeight="1" x14ac:dyDescent="0.25">
      <c r="B94" s="5"/>
    </row>
    <row r="95" spans="2:2" ht="30" customHeight="1" x14ac:dyDescent="0.25">
      <c r="B95" s="5"/>
    </row>
    <row r="96" spans="2:2" ht="30" customHeight="1" x14ac:dyDescent="0.25">
      <c r="B96" s="5"/>
    </row>
    <row r="97" spans="2:2" ht="30" customHeight="1" x14ac:dyDescent="0.25">
      <c r="B97" s="5"/>
    </row>
    <row r="98" spans="2:2" ht="30" customHeight="1" x14ac:dyDescent="0.25">
      <c r="B98" s="5"/>
    </row>
    <row r="99" spans="2:2" ht="30" customHeight="1" x14ac:dyDescent="0.25">
      <c r="B99" s="5"/>
    </row>
    <row r="100" spans="2:2" ht="30" customHeight="1" x14ac:dyDescent="0.25">
      <c r="B100" s="5"/>
    </row>
    <row r="101" spans="2:2" ht="30" customHeight="1" x14ac:dyDescent="0.25">
      <c r="B101" s="5"/>
    </row>
    <row r="102" spans="2:2" ht="30" customHeight="1" x14ac:dyDescent="0.25">
      <c r="B102" s="5"/>
    </row>
    <row r="103" spans="2:2" ht="30" customHeight="1" x14ac:dyDescent="0.25">
      <c r="B103" s="5"/>
    </row>
    <row r="104" spans="2:2" ht="30" customHeight="1" x14ac:dyDescent="0.25">
      <c r="B104" s="5"/>
    </row>
    <row r="105" spans="2:2" ht="30" customHeight="1" x14ac:dyDescent="0.25">
      <c r="B105" s="5"/>
    </row>
    <row r="106" spans="2:2" ht="30" customHeight="1" x14ac:dyDescent="0.25">
      <c r="B106" s="5"/>
    </row>
    <row r="107" spans="2:2" ht="30" customHeight="1" x14ac:dyDescent="0.25">
      <c r="B107" s="5"/>
    </row>
    <row r="108" spans="2:2" ht="30" customHeight="1" x14ac:dyDescent="0.25">
      <c r="B108" s="5"/>
    </row>
    <row r="109" spans="2:2" ht="30" customHeight="1" x14ac:dyDescent="0.25">
      <c r="B109" s="5"/>
    </row>
    <row r="110" spans="2:2" ht="30" customHeight="1" x14ac:dyDescent="0.25">
      <c r="B110" s="5"/>
    </row>
    <row r="111" spans="2:2" ht="30" customHeight="1" x14ac:dyDescent="0.25">
      <c r="B111" s="5"/>
    </row>
    <row r="112" spans="2:2" ht="30" customHeight="1" x14ac:dyDescent="0.25">
      <c r="B112" s="5"/>
    </row>
    <row r="113" spans="2:2" ht="30" customHeight="1" x14ac:dyDescent="0.25">
      <c r="B113" s="5"/>
    </row>
    <row r="114" spans="2:2" ht="30" customHeight="1" x14ac:dyDescent="0.25">
      <c r="B114" s="5"/>
    </row>
    <row r="115" spans="2:2" ht="30" customHeight="1" x14ac:dyDescent="0.25">
      <c r="B115" s="5"/>
    </row>
    <row r="116" spans="2:2" ht="30" customHeight="1" x14ac:dyDescent="0.25">
      <c r="B116" s="5"/>
    </row>
    <row r="117" spans="2:2" ht="30" customHeight="1" x14ac:dyDescent="0.25">
      <c r="B117" s="5"/>
    </row>
    <row r="118" spans="2:2" ht="30" customHeight="1" x14ac:dyDescent="0.25">
      <c r="B118" s="5"/>
    </row>
    <row r="119" spans="2:2" ht="30" customHeight="1" x14ac:dyDescent="0.25">
      <c r="B119" s="5"/>
    </row>
    <row r="120" spans="2:2" ht="30" customHeight="1" x14ac:dyDescent="0.25">
      <c r="B120" s="5"/>
    </row>
    <row r="121" spans="2:2" ht="30" customHeight="1" x14ac:dyDescent="0.25">
      <c r="B121" s="5"/>
    </row>
    <row r="122" spans="2:2" ht="30" customHeight="1" x14ac:dyDescent="0.25">
      <c r="B122" s="5"/>
    </row>
    <row r="123" spans="2:2" ht="30" customHeight="1" x14ac:dyDescent="0.25">
      <c r="B123" s="5"/>
    </row>
    <row r="124" spans="2:2" ht="30" customHeight="1" x14ac:dyDescent="0.25">
      <c r="B124" s="5"/>
    </row>
    <row r="125" spans="2:2" ht="30" customHeight="1" x14ac:dyDescent="0.25">
      <c r="B125" s="5"/>
    </row>
    <row r="126" spans="2:2" ht="30" customHeight="1" x14ac:dyDescent="0.25">
      <c r="B126" s="5"/>
    </row>
    <row r="127" spans="2:2" ht="30" customHeight="1" x14ac:dyDescent="0.25">
      <c r="B127" s="5"/>
    </row>
    <row r="128" spans="2:2" ht="30" customHeight="1" x14ac:dyDescent="0.25">
      <c r="B128" s="5"/>
    </row>
    <row r="129" spans="2:2" ht="30" customHeight="1" x14ac:dyDescent="0.25">
      <c r="B129" s="5"/>
    </row>
    <row r="130" spans="2:2" ht="30" customHeight="1" x14ac:dyDescent="0.25">
      <c r="B130" s="5"/>
    </row>
    <row r="131" spans="2:2" ht="30" customHeight="1" x14ac:dyDescent="0.25">
      <c r="B131" s="5"/>
    </row>
    <row r="132" spans="2:2" ht="30" customHeight="1" x14ac:dyDescent="0.25">
      <c r="B132" s="5"/>
    </row>
    <row r="133" spans="2:2" ht="30" customHeight="1" x14ac:dyDescent="0.25">
      <c r="B133" s="5"/>
    </row>
    <row r="134" spans="2:2" ht="30" customHeight="1" x14ac:dyDescent="0.25">
      <c r="B134" s="5"/>
    </row>
    <row r="135" spans="2:2" ht="30" customHeight="1" x14ac:dyDescent="0.25">
      <c r="B135" s="5"/>
    </row>
    <row r="136" spans="2:2" ht="30" customHeight="1" x14ac:dyDescent="0.25">
      <c r="B136" s="5"/>
    </row>
    <row r="137" spans="2:2" ht="30" customHeight="1" x14ac:dyDescent="0.25">
      <c r="B137" s="5"/>
    </row>
    <row r="138" spans="2:2" ht="30" customHeight="1" x14ac:dyDescent="0.25">
      <c r="B138" s="5"/>
    </row>
    <row r="139" spans="2:2" ht="30" customHeight="1" x14ac:dyDescent="0.25">
      <c r="B139" s="5"/>
    </row>
    <row r="140" spans="2:2" ht="30" customHeight="1" x14ac:dyDescent="0.25">
      <c r="B140" s="5"/>
    </row>
    <row r="141" spans="2:2" ht="30" customHeight="1" x14ac:dyDescent="0.25">
      <c r="B141" s="5"/>
    </row>
    <row r="142" spans="2:2" ht="30" customHeight="1" x14ac:dyDescent="0.25">
      <c r="B142" s="5"/>
    </row>
    <row r="143" spans="2:2" ht="30" customHeight="1" x14ac:dyDescent="0.25">
      <c r="B143" s="5"/>
    </row>
    <row r="144" spans="2:2" ht="30" customHeight="1" x14ac:dyDescent="0.25">
      <c r="B144" s="5"/>
    </row>
    <row r="145" spans="2:2" ht="30" customHeight="1" x14ac:dyDescent="0.25">
      <c r="B145" s="5"/>
    </row>
    <row r="146" spans="2:2" ht="30" customHeight="1" x14ac:dyDescent="0.25">
      <c r="B146" s="5"/>
    </row>
    <row r="147" spans="2:2" ht="30" customHeight="1" x14ac:dyDescent="0.25">
      <c r="B147" s="5"/>
    </row>
    <row r="148" spans="2:2" ht="30" customHeight="1" x14ac:dyDescent="0.25">
      <c r="B148" s="5"/>
    </row>
  </sheetData>
  <mergeCells count="21">
    <mergeCell ref="CH4:CN4"/>
    <mergeCell ref="BF4:BL4"/>
    <mergeCell ref="DJ4:DP4"/>
    <mergeCell ref="DQ4:DW4"/>
    <mergeCell ref="DX4:ED4"/>
    <mergeCell ref="CO4:CU4"/>
    <mergeCell ref="CV4:DB4"/>
    <mergeCell ref="DC4:DI4"/>
    <mergeCell ref="BM4:BS4"/>
    <mergeCell ref="BT4:BZ4"/>
    <mergeCell ref="CA4:CG4"/>
    <mergeCell ref="C3:D3"/>
    <mergeCell ref="C4:D4"/>
    <mergeCell ref="AK4:AQ4"/>
    <mergeCell ref="AR4:AX4"/>
    <mergeCell ref="AY4:BE4"/>
    <mergeCell ref="E3:F3"/>
    <mergeCell ref="I4:O4"/>
    <mergeCell ref="P4:V4"/>
    <mergeCell ref="W4:AC4"/>
    <mergeCell ref="AD4:AJ4"/>
  </mergeCells>
  <phoneticPr fontId="33" type="noConversion"/>
  <conditionalFormatting sqref="D7:D13 C13 D18:D50">
    <cfRule type="dataBar" priority="8">
      <dataBar>
        <cfvo type="num" val="0"/>
        <cfvo type="num" val="1"/>
        <color theme="0" tint="-0.249977111117893"/>
      </dataBar>
      <extLst>
        <ext xmlns:x14="http://schemas.microsoft.com/office/spreadsheetml/2009/9/main" uri="{B025F937-C7B1-47D3-B67F-A62EFF666E3E}">
          <x14:id>{9226ECF7-5E7E-4FD7-8E94-E1D988EE2997}</x14:id>
        </ext>
      </extLst>
    </cfRule>
  </conditionalFormatting>
  <conditionalFormatting sqref="C26:C27">
    <cfRule type="dataBar" priority="7">
      <dataBar>
        <cfvo type="num" val="0"/>
        <cfvo type="num" val="1"/>
        <color theme="0" tint="-0.249977111117893"/>
      </dataBar>
      <extLst>
        <ext xmlns:x14="http://schemas.microsoft.com/office/spreadsheetml/2009/9/main" uri="{B025F937-C7B1-47D3-B67F-A62EFF666E3E}">
          <x14:id>{98505CBD-60C3-45FD-90B3-C2B55B4377C6}</x14:id>
        </ext>
      </extLst>
    </cfRule>
  </conditionalFormatting>
  <conditionalFormatting sqref="C30:C33">
    <cfRule type="dataBar" priority="6">
      <dataBar>
        <cfvo type="num" val="0"/>
        <cfvo type="num" val="1"/>
        <color theme="0" tint="-0.249977111117893"/>
      </dataBar>
      <extLst>
        <ext xmlns:x14="http://schemas.microsoft.com/office/spreadsheetml/2009/9/main" uri="{B025F937-C7B1-47D3-B67F-A62EFF666E3E}">
          <x14:id>{19D7A835-07E3-4F7E-80C5-48BCEF6997D6}</x14:id>
        </ext>
      </extLst>
    </cfRule>
  </conditionalFormatting>
  <conditionalFormatting sqref="C35">
    <cfRule type="dataBar" priority="5">
      <dataBar>
        <cfvo type="num" val="0"/>
        <cfvo type="num" val="1"/>
        <color theme="0" tint="-0.249977111117893"/>
      </dataBar>
      <extLst>
        <ext xmlns:x14="http://schemas.microsoft.com/office/spreadsheetml/2009/9/main" uri="{B025F937-C7B1-47D3-B67F-A62EFF666E3E}">
          <x14:id>{4D4488D5-B110-4373-9DE7-4FA6104855FE}</x14:id>
        </ext>
      </extLst>
    </cfRule>
  </conditionalFormatting>
  <conditionalFormatting sqref="D15:D16">
    <cfRule type="dataBar" priority="5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BM5:EC6">
    <cfRule type="expression" dxfId="1" priority="12">
      <formula>AND(TODAY()&gt;=BM$5,TODAY()&lt;BN$5)</formula>
    </cfRule>
  </conditionalFormatting>
  <conditionalFormatting sqref="ED5:ED6">
    <cfRule type="expression" dxfId="0" priority="57">
      <formula>AND(TODAY()&gt;=ED$5,TODAY()&lt;#REF!)</formula>
    </cfRule>
  </conditionalFormatting>
  <conditionalFormatting sqref="C46">
    <cfRule type="dataBar" priority="1">
      <dataBar>
        <cfvo type="num" val="0"/>
        <cfvo type="num" val="1"/>
        <color theme="0" tint="-0.249977111117893"/>
      </dataBar>
      <extLst>
        <ext xmlns:x14="http://schemas.microsoft.com/office/spreadsheetml/2009/9/main" uri="{B025F937-C7B1-47D3-B67F-A62EFF666E3E}">
          <x14:id>{84E1B637-EF2B-4901-88F6-846B911434D7}</x14:id>
        </ext>
      </extLst>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printOptions horizontalCentered="1"/>
  <pageMargins left="0.35" right="0.35" top="0.35" bottom="0.5" header="0.3" footer="0.3"/>
  <pageSetup paperSize="9" scale="3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9226ECF7-5E7E-4FD7-8E94-E1D988EE2997}">
            <x14:dataBar minLength="0" maxLength="100" gradient="0">
              <x14:cfvo type="num">
                <xm:f>0</xm:f>
              </x14:cfvo>
              <x14:cfvo type="num">
                <xm:f>1</xm:f>
              </x14:cfvo>
              <x14:negativeFillColor rgb="FFFF0000"/>
              <x14:axisColor rgb="FF000000"/>
            </x14:dataBar>
          </x14:cfRule>
          <xm:sqref>D7:D13 C13 D18:D50</xm:sqref>
        </x14:conditionalFormatting>
        <x14:conditionalFormatting xmlns:xm="http://schemas.microsoft.com/office/excel/2006/main">
          <x14:cfRule type="dataBar" id="{98505CBD-60C3-45FD-90B3-C2B55B4377C6}">
            <x14:dataBar minLength="0" maxLength="100" gradient="0">
              <x14:cfvo type="num">
                <xm:f>0</xm:f>
              </x14:cfvo>
              <x14:cfvo type="num">
                <xm:f>1</xm:f>
              </x14:cfvo>
              <x14:negativeFillColor rgb="FFFF0000"/>
              <x14:axisColor rgb="FF000000"/>
            </x14:dataBar>
          </x14:cfRule>
          <xm:sqref>C26:C27</xm:sqref>
        </x14:conditionalFormatting>
        <x14:conditionalFormatting xmlns:xm="http://schemas.microsoft.com/office/excel/2006/main">
          <x14:cfRule type="dataBar" id="{19D7A835-07E3-4F7E-80C5-48BCEF6997D6}">
            <x14:dataBar minLength="0" maxLength="100" gradient="0">
              <x14:cfvo type="num">
                <xm:f>0</xm:f>
              </x14:cfvo>
              <x14:cfvo type="num">
                <xm:f>1</xm:f>
              </x14:cfvo>
              <x14:negativeFillColor rgb="FFFF0000"/>
              <x14:axisColor rgb="FF000000"/>
            </x14:dataBar>
          </x14:cfRule>
          <xm:sqref>C30:C33</xm:sqref>
        </x14:conditionalFormatting>
        <x14:conditionalFormatting xmlns:xm="http://schemas.microsoft.com/office/excel/2006/main">
          <x14:cfRule type="dataBar" id="{4D4488D5-B110-4373-9DE7-4FA6104855FE}">
            <x14:dataBar minLength="0" maxLength="100" gradient="0">
              <x14:cfvo type="num">
                <xm:f>0</xm:f>
              </x14:cfvo>
              <x14:cfvo type="num">
                <xm:f>1</xm:f>
              </x14:cfvo>
              <x14:negativeFillColor rgb="FFFF0000"/>
              <x14:axisColor rgb="FF000000"/>
            </x14:dataBar>
          </x14:cfRule>
          <xm:sqref>C35</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D15:D16</xm:sqref>
        </x14:conditionalFormatting>
        <x14:conditionalFormatting xmlns:xm="http://schemas.microsoft.com/office/excel/2006/main">
          <x14:cfRule type="dataBar" id="{84E1B637-EF2B-4901-88F6-846B911434D7}">
            <x14:dataBar minLength="0" maxLength="100" gradient="0">
              <x14:cfvo type="num">
                <xm:f>0</xm:f>
              </x14:cfvo>
              <x14:cfvo type="num">
                <xm:f>1</xm:f>
              </x14:cfvo>
              <x14:negativeFillColor rgb="FFFF0000"/>
              <x14:axisColor rgb="FF000000"/>
            </x14:dataBar>
          </x14:cfRule>
          <xm:sqref>C46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8" zoomScaleNormal="100" workbookViewId="0">
      <selection activeCell="L15" sqref="L15"/>
    </sheetView>
  </sheetViews>
  <sheetFormatPr baseColWidth="10" defaultColWidth="9.140625" defaultRowHeight="12.75" x14ac:dyDescent="0.2"/>
  <cols>
    <col min="1" max="1" width="104.7109375" style="13" bestFit="1" customWidth="1"/>
    <col min="2" max="16384" width="9.140625" style="2"/>
  </cols>
  <sheetData>
    <row r="1" spans="1:2" ht="46.5" customHeight="1" x14ac:dyDescent="0.2"/>
    <row r="2" spans="1:2" s="15" customFormat="1" ht="15.75" x14ac:dyDescent="0.25">
      <c r="A2" s="14" t="s">
        <v>18</v>
      </c>
      <c r="B2" s="14"/>
    </row>
    <row r="3" spans="1:2" s="19" customFormat="1" ht="27" customHeight="1" x14ac:dyDescent="0.25">
      <c r="A3" s="30" t="s">
        <v>19</v>
      </c>
      <c r="B3" s="20"/>
    </row>
    <row r="4" spans="1:2" s="16" customFormat="1" ht="26.25" x14ac:dyDescent="0.4">
      <c r="A4" s="17" t="s">
        <v>20</v>
      </c>
    </row>
    <row r="5" spans="1:2" ht="74.099999999999994" customHeight="1" x14ac:dyDescent="0.2">
      <c r="A5" s="18" t="s">
        <v>21</v>
      </c>
    </row>
    <row r="6" spans="1:2" ht="26.25" customHeight="1" x14ac:dyDescent="0.2">
      <c r="A6" s="17" t="s">
        <v>22</v>
      </c>
    </row>
    <row r="7" spans="1:2" s="13" customFormat="1" ht="204.95" customHeight="1" x14ac:dyDescent="0.25">
      <c r="A7" s="22" t="s">
        <v>23</v>
      </c>
    </row>
    <row r="8" spans="1:2" s="16" customFormat="1" ht="26.25" x14ac:dyDescent="0.4">
      <c r="A8" s="17" t="s">
        <v>24</v>
      </c>
    </row>
    <row r="9" spans="1:2" ht="60" customHeight="1" x14ac:dyDescent="0.2">
      <c r="A9" s="18" t="s">
        <v>25</v>
      </c>
    </row>
    <row r="10" spans="1:2" s="13" customFormat="1" ht="27.95" customHeight="1" x14ac:dyDescent="0.25">
      <c r="A10" s="21" t="s">
        <v>26</v>
      </c>
    </row>
    <row r="11" spans="1:2" s="16" customFormat="1" ht="26.25" x14ac:dyDescent="0.4">
      <c r="A11" s="17" t="s">
        <v>27</v>
      </c>
    </row>
    <row r="12" spans="1:2" ht="30" customHeight="1" x14ac:dyDescent="0.2">
      <c r="A12" s="18" t="s">
        <v>28</v>
      </c>
    </row>
    <row r="13" spans="1:2" s="13" customFormat="1" ht="27.95" customHeight="1" x14ac:dyDescent="0.25">
      <c r="A13" s="21" t="s">
        <v>29</v>
      </c>
    </row>
    <row r="14" spans="1:2" s="16" customFormat="1" ht="26.25" x14ac:dyDescent="0.4">
      <c r="A14" s="17" t="s">
        <v>30</v>
      </c>
    </row>
    <row r="15" spans="1:2" ht="75" customHeight="1" x14ac:dyDescent="0.2">
      <c r="A15" s="18" t="s">
        <v>31</v>
      </c>
    </row>
    <row r="16" spans="1:2" ht="75" customHeight="1" x14ac:dyDescent="0.2">
      <c r="A16" s="18" t="s">
        <v>32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2026-03-09T11:47:34Z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